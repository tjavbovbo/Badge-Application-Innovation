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j/Library/Application Support/Box/Box Edit/Documents/1855456446909/"/>
    </mc:Choice>
  </mc:AlternateContent>
  <xr:revisionPtr revIDLastSave="0" documentId="13_ncr:1_{F1A18735-CBEB-EE4F-989E-818DAF74F27D}" xr6:coauthVersionLast="47" xr6:coauthVersionMax="47" xr10:uidLastSave="{00000000-0000-0000-0000-000000000000}"/>
  <bookViews>
    <workbookView xWindow="0" yWindow="660" windowWidth="34560" windowHeight="20440" activeTab="3" xr2:uid="{00000000-000D-0000-FFFF-FFFF00000000}"/>
  </bookViews>
  <sheets>
    <sheet name="Samples" sheetId="1" r:id="rId1"/>
    <sheet name="Calibrations" sheetId="36" r:id="rId2"/>
    <sheet name="Retention Times" sheetId="35" r:id="rId3"/>
    <sheet name="Chemical data" sheetId="37" r:id="rId4"/>
  </sheets>
  <definedNames>
    <definedName name="chemical_data_table">'Chemical data'!$A$8:$I$171</definedName>
    <definedName name="sample_name_list">'Chemical data'!$A$182:$A$194</definedName>
  </definedNames>
  <calcPr calcId="191028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6" i="37" l="1"/>
  <c r="E175" i="37"/>
  <c r="E174" i="37"/>
  <c r="E173" i="37"/>
  <c r="E164" i="37"/>
  <c r="E161" i="37"/>
  <c r="E160" i="37"/>
  <c r="E157" i="37"/>
  <c r="E154" i="37"/>
  <c r="E152" i="37"/>
  <c r="E150" i="37"/>
  <c r="E146" i="37"/>
  <c r="E144" i="37"/>
  <c r="E142" i="37"/>
  <c r="E138" i="37"/>
  <c r="E137" i="37"/>
  <c r="E136" i="37"/>
  <c r="E135" i="37"/>
  <c r="E134" i="37"/>
  <c r="E133" i="37"/>
  <c r="E132" i="37"/>
  <c r="E131" i="37"/>
  <c r="E130" i="37"/>
  <c r="E128" i="37"/>
  <c r="E127" i="37"/>
  <c r="E126" i="37"/>
  <c r="E125" i="37"/>
  <c r="E123" i="37"/>
  <c r="E122" i="37"/>
  <c r="E121" i="37"/>
  <c r="E119" i="37"/>
  <c r="E116" i="37"/>
  <c r="E115" i="37"/>
  <c r="E114" i="37"/>
  <c r="E113" i="37"/>
  <c r="E112" i="37"/>
  <c r="E111" i="37"/>
  <c r="E110" i="37"/>
  <c r="E109" i="37"/>
  <c r="E108" i="37"/>
  <c r="E105" i="37"/>
  <c r="E104" i="37"/>
  <c r="E103" i="37"/>
  <c r="E102" i="37"/>
  <c r="E101" i="37"/>
  <c r="E100" i="37"/>
  <c r="E99" i="37"/>
  <c r="E98" i="37"/>
  <c r="E97" i="37"/>
  <c r="E96" i="37"/>
  <c r="E95" i="37"/>
  <c r="E94" i="37"/>
  <c r="E93" i="37"/>
  <c r="E90" i="37"/>
  <c r="E88" i="37"/>
  <c r="E87" i="37"/>
  <c r="E86" i="37"/>
  <c r="E85" i="37"/>
  <c r="E84" i="37"/>
  <c r="E83" i="37"/>
  <c r="E82" i="37"/>
  <c r="E81" i="37"/>
  <c r="E80" i="37"/>
  <c r="E79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61" i="37"/>
  <c r="E60" i="37"/>
  <c r="E59" i="37"/>
  <c r="E58" i="37"/>
  <c r="E57" i="37"/>
  <c r="E54" i="37"/>
  <c r="E52" i="37"/>
  <c r="E51" i="37"/>
  <c r="E50" i="37"/>
  <c r="E49" i="37"/>
  <c r="E48" i="37"/>
  <c r="E47" i="37"/>
  <c r="E46" i="37"/>
  <c r="E44" i="37"/>
  <c r="E43" i="37"/>
  <c r="E42" i="37"/>
  <c r="E41" i="37"/>
  <c r="E40" i="37"/>
  <c r="E39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22" i="37"/>
  <c r="E21" i="37"/>
  <c r="E20" i="37"/>
  <c r="E19" i="37"/>
  <c r="E18" i="37"/>
  <c r="E17" i="37"/>
  <c r="E16" i="37"/>
  <c r="E15" i="37"/>
  <c r="E14" i="37"/>
  <c r="E13" i="37"/>
  <c r="E12" i="37"/>
  <c r="E11" i="37"/>
  <c r="E10" i="37"/>
  <c r="E9" i="37"/>
  <c r="E8" i="37"/>
</calcChain>
</file>

<file path=xl/sharedStrings.xml><?xml version="1.0" encoding="utf-8"?>
<sst xmlns="http://schemas.openxmlformats.org/spreadsheetml/2006/main" count="411" uniqueCount="355">
  <si>
    <t>THE CONCENTRATION OF ANALYTE IN NG/UL INJECTED IS GIVEN BY:</t>
  </si>
  <si>
    <t>NG/UL = MICROLITERS OF ANALYTE * DENSITY*PURITY / VOLUME OF SDB IN LITERS</t>
  </si>
  <si>
    <t xml:space="preserve">              VOLUME OF Static Dilution Bottle</t>
  </si>
  <si>
    <t>SDB# 2</t>
  </si>
  <si>
    <t>COMPOUND</t>
  </si>
  <si>
    <t>MOL.WT.</t>
  </si>
  <si>
    <t>DENSITY</t>
  </si>
  <si>
    <t>ul VOL.</t>
  </si>
  <si>
    <t>ng/ul</t>
  </si>
  <si>
    <t xml:space="preserve">  B.P.</t>
  </si>
  <si>
    <t>PURITY</t>
  </si>
  <si>
    <t>LOT #</t>
  </si>
  <si>
    <t>EXP. DATE</t>
  </si>
  <si>
    <t>Ret time</t>
  </si>
  <si>
    <t>m/z</t>
  </si>
  <si>
    <t>SDB volumes</t>
  </si>
  <si>
    <t>Other volumes</t>
  </si>
  <si>
    <t>ACRYLONITRILE</t>
  </si>
  <si>
    <t>53,52,26</t>
  </si>
  <si>
    <t>ACETONITRILE</t>
  </si>
  <si>
    <t>41,40,39</t>
  </si>
  <si>
    <t>METHYL ETHYL KETONE</t>
  </si>
  <si>
    <t>72,57,43</t>
  </si>
  <si>
    <t>ACETONE</t>
  </si>
  <si>
    <t>58,43</t>
  </si>
  <si>
    <t>ETHYL ACETATE</t>
  </si>
  <si>
    <t>88,61,43</t>
  </si>
  <si>
    <t>N,N -DIMETHYLAMINE*</t>
  </si>
  <si>
    <t>87,72,44</t>
  </si>
  <si>
    <t>2,2-DIMETHYL PENTANE*</t>
  </si>
  <si>
    <t>100,85,57,43</t>
  </si>
  <si>
    <t>2,4-DIMETHYL PENTANE*</t>
  </si>
  <si>
    <t>CHLOROFORM</t>
  </si>
  <si>
    <t>85,83,47</t>
  </si>
  <si>
    <t>ACETIC ACID</t>
  </si>
  <si>
    <t>60,45,43</t>
  </si>
  <si>
    <t>METHYL CYCLOPENTANE*</t>
  </si>
  <si>
    <t>84,69,56</t>
  </si>
  <si>
    <t>TETRAHYDROFURAN</t>
  </si>
  <si>
    <t>72,71,42</t>
  </si>
  <si>
    <t>N-ETHYL-2-PROPANAMINE*</t>
  </si>
  <si>
    <t>DIETHYLMETHYLAMINE*</t>
  </si>
  <si>
    <t>3,3-DIMETHYL PENTANE*</t>
  </si>
  <si>
    <t>100,85,71,43</t>
  </si>
  <si>
    <t>2-METHYL HEXANE*</t>
  </si>
  <si>
    <t>n-BUTANOL</t>
  </si>
  <si>
    <t>t-BUTYL ALCOHOL</t>
  </si>
  <si>
    <t>59,57,41</t>
  </si>
  <si>
    <t>BENZENE</t>
  </si>
  <si>
    <t>2,3-DIMETHYL PENTANE*</t>
  </si>
  <si>
    <t>100,71,56,43</t>
  </si>
  <si>
    <t>3-METHYL HEXANE*</t>
  </si>
  <si>
    <t>100,85,43</t>
  </si>
  <si>
    <t>2-PENTANONE</t>
  </si>
  <si>
    <t>86,71,43</t>
  </si>
  <si>
    <t>ISOPROPYLCYCLOBUTANE*</t>
  </si>
  <si>
    <t>98,83,70,56</t>
  </si>
  <si>
    <t>HEPTANE</t>
  </si>
  <si>
    <t>100,71,57,43</t>
  </si>
  <si>
    <t>TRIETHYLAMINE*</t>
  </si>
  <si>
    <t>PENTANAL</t>
  </si>
  <si>
    <t>58, 57, 44</t>
  </si>
  <si>
    <t>1,4-DIOXANE</t>
  </si>
  <si>
    <t>88,58,31</t>
  </si>
  <si>
    <t>METHYL METHACRYLATE</t>
  </si>
  <si>
    <t>100, 69, 41</t>
  </si>
  <si>
    <t>n-PROPYL ACETATE***</t>
  </si>
  <si>
    <t>73,61,43</t>
  </si>
  <si>
    <t>METHYL ISOBUTYL KETONE*</t>
  </si>
  <si>
    <t>ACETONE OXIME</t>
  </si>
  <si>
    <t>X</t>
  </si>
  <si>
    <t>???</t>
  </si>
  <si>
    <t>73,58,28</t>
  </si>
  <si>
    <t>METHYL CYCLOHEXANE</t>
  </si>
  <si>
    <t>98,83,55</t>
  </si>
  <si>
    <t>ETHYL CYCLOPENTANE**</t>
  </si>
  <si>
    <t>98,83,69,41</t>
  </si>
  <si>
    <t>PYRIDINE*</t>
  </si>
  <si>
    <t>79,52,51</t>
  </si>
  <si>
    <t>1,2 PROPANEDIOL*</t>
  </si>
  <si>
    <t>61,45,31</t>
  </si>
  <si>
    <t>TOLUENE</t>
  </si>
  <si>
    <t>92,91,65</t>
  </si>
  <si>
    <t>2-HEXANONE*</t>
  </si>
  <si>
    <t>100,58,43</t>
  </si>
  <si>
    <t>2,2-DIMETHYL-PROPANOIC ACID</t>
  </si>
  <si>
    <t>87,73,57</t>
  </si>
  <si>
    <t>OCTANE</t>
  </si>
  <si>
    <t>114,85,43</t>
  </si>
  <si>
    <t>HEXANAL</t>
  </si>
  <si>
    <t>18925CU</t>
  </si>
  <si>
    <t>?</t>
  </si>
  <si>
    <t>56,44,41</t>
  </si>
  <si>
    <t>PERCHLOROETHYLENE</t>
  </si>
  <si>
    <t>FURFURAL</t>
  </si>
  <si>
    <t>96,95,39</t>
  </si>
  <si>
    <t>CHLOROBENZENE***</t>
  </si>
  <si>
    <t>112,77,57</t>
  </si>
  <si>
    <t>1-CHLOROHEXANE*</t>
  </si>
  <si>
    <t>93,91,55</t>
  </si>
  <si>
    <t>1-CHLORO-4-(TRIFLOUROMETHYL)BENZENE*</t>
  </si>
  <si>
    <t>180,161,145</t>
  </si>
  <si>
    <t>PENTANOIC ACID</t>
  </si>
  <si>
    <t>91,73,60</t>
  </si>
  <si>
    <t>ETHYLBENZENE</t>
  </si>
  <si>
    <t>106,91,77</t>
  </si>
  <si>
    <t>2-AMINO-4-METHYL-BENZOIC ACID</t>
  </si>
  <si>
    <t>133,106,77</t>
  </si>
  <si>
    <t>2-AMINO-5-METHYL-BENZOIC ACID</t>
  </si>
  <si>
    <t>N,N-DIMETHYLACETAMIDE*</t>
  </si>
  <si>
    <t>m-&amp;p-XYLENES</t>
  </si>
  <si>
    <t>106,105,91</t>
  </si>
  <si>
    <t>METHOXY-PHENYL-OXIME***</t>
  </si>
  <si>
    <t>151,135,133</t>
  </si>
  <si>
    <t>3-HEPTANONE</t>
  </si>
  <si>
    <t>114,85,57</t>
  </si>
  <si>
    <t>STYRENE</t>
  </si>
  <si>
    <t>NONENE</t>
  </si>
  <si>
    <t>83,69,56</t>
  </si>
  <si>
    <t>2-HEPTANONE</t>
  </si>
  <si>
    <t>114,58,43</t>
  </si>
  <si>
    <t>o-XYLENES</t>
  </si>
  <si>
    <t>HEPTANAL</t>
  </si>
  <si>
    <t>70,55,44</t>
  </si>
  <si>
    <t>N,N-DIETHYL-2-AMINOETHANOL*</t>
  </si>
  <si>
    <t>102,86,58</t>
  </si>
  <si>
    <t>2-DIETHYLAMINOETHANOL</t>
  </si>
  <si>
    <t>DIMETHYLFORMAMIDE*</t>
  </si>
  <si>
    <t>2-BUTOXYETHANOL</t>
  </si>
  <si>
    <t>87,57,45</t>
  </si>
  <si>
    <t>CYCLOHEXANONE</t>
  </si>
  <si>
    <t>98,55,42</t>
  </si>
  <si>
    <t>BUTYROLACTONE*</t>
  </si>
  <si>
    <t>86,56,42</t>
  </si>
  <si>
    <t>CUMENE   (also 1-methyethyl benzene)</t>
  </si>
  <si>
    <t>120,105,77</t>
  </si>
  <si>
    <t>1-BROMO-HEXANE*</t>
  </si>
  <si>
    <t>137,135,43</t>
  </si>
  <si>
    <t>DIETHYLENE GLYCOL METHYL ETHER****</t>
  </si>
  <si>
    <t>90,59,45</t>
  </si>
  <si>
    <t>a-PINENE</t>
  </si>
  <si>
    <t>136,93,77</t>
  </si>
  <si>
    <t>DIETHYLENE GLYCOL****</t>
  </si>
  <si>
    <t>75,45,31</t>
  </si>
  <si>
    <t>BENZALDEHYDE</t>
  </si>
  <si>
    <t>106,105,77</t>
  </si>
  <si>
    <t>HEXANOIC ACID</t>
  </si>
  <si>
    <t>87,73,60</t>
  </si>
  <si>
    <t>n-PROPYLBENZENE</t>
  </si>
  <si>
    <t>120,91,65</t>
  </si>
  <si>
    <t>PHENOL</t>
  </si>
  <si>
    <t>94,66,65</t>
  </si>
  <si>
    <t>ANILINE</t>
  </si>
  <si>
    <t>93,66,65</t>
  </si>
  <si>
    <t>b-PINENE**</t>
  </si>
  <si>
    <t>136, 93, 79</t>
  </si>
  <si>
    <t>1,3,5- TRIMETHYLBENZENE</t>
  </si>
  <si>
    <t>120,119,105</t>
  </si>
  <si>
    <t>1-METHYLETHENYL BENZALDEHYDE*</t>
  </si>
  <si>
    <t>a-METHYL STYRENE</t>
  </si>
  <si>
    <t>1,2,4-TRIMETHYLBENZENE</t>
  </si>
  <si>
    <t>1-(2-METHOXY-1-METHYLETHOXY)-2-PROPANOL****</t>
  </si>
  <si>
    <t>103,73,59</t>
  </si>
  <si>
    <t>DECANE</t>
  </si>
  <si>
    <t>n-METHYLACETAMIDE</t>
  </si>
  <si>
    <t>73,58,43</t>
  </si>
  <si>
    <t>DIETHYLENE GLYCOL MONOETHYL ETHER</t>
  </si>
  <si>
    <t>104,59,45</t>
  </si>
  <si>
    <t>OCTANAL ********</t>
  </si>
  <si>
    <t>84,57,44</t>
  </si>
  <si>
    <t>1-(2-METHOXYPROPOXY)-2-PROPANOL****</t>
  </si>
  <si>
    <t>104, 59, 45</t>
  </si>
  <si>
    <t>BENZOFURAN*</t>
  </si>
  <si>
    <t>118,90,63</t>
  </si>
  <si>
    <t>2-HYDROXYETHYL METHACRYLATE *</t>
  </si>
  <si>
    <t>65C@3.5mmHg</t>
  </si>
  <si>
    <t>87,69,41</t>
  </si>
  <si>
    <t>DI(PROPYLENE GLYCOL)***</t>
  </si>
  <si>
    <t>59,45,42</t>
  </si>
  <si>
    <t>1,3-DICHLOROBENZENE***</t>
  </si>
  <si>
    <t>2-ETHYL1-HEXANOL</t>
  </si>
  <si>
    <t>83,70,57</t>
  </si>
  <si>
    <t>1,2,3-TRIMETHYLBENZENE</t>
  </si>
  <si>
    <t>1,4-DICHLOROBENZENE***</t>
  </si>
  <si>
    <t>148,146,111</t>
  </si>
  <si>
    <t>1,2-DICHLOROBENZENE</t>
  </si>
  <si>
    <t>d-LIMONENE</t>
  </si>
  <si>
    <t>136,93,68</t>
  </si>
  <si>
    <t>2-HYDROXYPROPYL METHACRYLATE *</t>
  </si>
  <si>
    <t>1-BROMO-HEPTANE*</t>
  </si>
  <si>
    <t>137,135,57</t>
  </si>
  <si>
    <t>1-METHYL-2-PYRROLIDINONE*</t>
  </si>
  <si>
    <t>99,98,44</t>
  </si>
  <si>
    <t>SALICYALDEHYDE  (2-HYDROXY BENZALDEHYDE)</t>
  </si>
  <si>
    <t>122,121,65</t>
  </si>
  <si>
    <t>1,2-BIS(TRIMETHYLSILYL)BENZENE</t>
  </si>
  <si>
    <t>207,193,97,73</t>
  </si>
  <si>
    <t>HEPTANOIC ACID</t>
  </si>
  <si>
    <t>87.73,60</t>
  </si>
  <si>
    <t>ACETOPHENONE</t>
  </si>
  <si>
    <t>1-OCTANOL*</t>
  </si>
  <si>
    <t>69,56,55</t>
  </si>
  <si>
    <t>2-METHYL BENZALDEHYDE*</t>
  </si>
  <si>
    <t>120, 119, 91</t>
  </si>
  <si>
    <t>2-ETHYL HEXANOIC ACID *</t>
  </si>
  <si>
    <t>NONANAL</t>
  </si>
  <si>
    <t>98,70,57</t>
  </si>
  <si>
    <t>2-ETHYLHEXYL ACETATE*</t>
  </si>
  <si>
    <t>112, 70, 43</t>
  </si>
  <si>
    <t>2-BUTOXYETHYL ACETATE*</t>
  </si>
  <si>
    <t>100,57,43</t>
  </si>
  <si>
    <t>UNDECANE*****</t>
  </si>
  <si>
    <t>85,71,57</t>
  </si>
  <si>
    <t>2-METHYL BENZOFURAN*</t>
  </si>
  <si>
    <t>131,103,77</t>
  </si>
  <si>
    <t>DODECYL METHACRYLATE</t>
  </si>
  <si>
    <t>BENZALDEHYDE DIMETHYL ACETATE</t>
  </si>
  <si>
    <t>121, 91,77</t>
  </si>
  <si>
    <t>ISOPHORONE</t>
  </si>
  <si>
    <t>138,82,54</t>
  </si>
  <si>
    <t>BENZOIC ACID*</t>
  </si>
  <si>
    <t>122,105,77</t>
  </si>
  <si>
    <t>OCTANOIC ACID*</t>
  </si>
  <si>
    <t>101,73,60</t>
  </si>
  <si>
    <t>ISOBORNEOL*</t>
  </si>
  <si>
    <t>110,95,55</t>
  </si>
  <si>
    <t>1-(2-BUTOXYETHOXY) ETHANOL****</t>
  </si>
  <si>
    <t>132,57,45</t>
  </si>
  <si>
    <t>4-METHYL-2-DODECENE</t>
  </si>
  <si>
    <t>112,69,57</t>
  </si>
  <si>
    <t>NAPHTHALENE</t>
  </si>
  <si>
    <t>128,64,63</t>
  </si>
  <si>
    <t>2-ETHYLHEXYL ACRYLATE*</t>
  </si>
  <si>
    <t>112,70,55</t>
  </si>
  <si>
    <t>TRICHLOROETHYLENE*</t>
  </si>
  <si>
    <t>132,130,95</t>
  </si>
  <si>
    <t>PENTAFLUOROPROPIONIC ACID</t>
  </si>
  <si>
    <t>169,147,119,69</t>
  </si>
  <si>
    <t>CAPROLACTAM *</t>
  </si>
  <si>
    <t>137@10mmHg</t>
  </si>
  <si>
    <t>113,85,55</t>
  </si>
  <si>
    <t>73,60,57</t>
  </si>
  <si>
    <t>2-METHYL NAPHTHALENE ********</t>
  </si>
  <si>
    <t>1-METHYL NAPHTHALENE</t>
  </si>
  <si>
    <t>DECANOIC ACID*</t>
  </si>
  <si>
    <t>129,73,60</t>
  </si>
  <si>
    <t>ISOBORNYL ACRYLATE</t>
  </si>
  <si>
    <t>120C/15mmHg</t>
  </si>
  <si>
    <t>2-BUTOXYETHOXYETHANOL***</t>
  </si>
  <si>
    <t>DIETHYLENE GLYCOL DIBUTYL ETHER ***</t>
  </si>
  <si>
    <t>101,57,45</t>
  </si>
  <si>
    <t>3-t-BUTYL-4-HYDROXYANISOLE***</t>
  </si>
  <si>
    <t>4-TERT-BUTYLBENZYL ALCOHOL</t>
  </si>
  <si>
    <t>149,105,57</t>
  </si>
  <si>
    <t>JUNIPENE</t>
  </si>
  <si>
    <t>161,107,94</t>
  </si>
  <si>
    <t>ISOBORNYL METHACRYLATE*</t>
  </si>
  <si>
    <t>136,95,69</t>
  </si>
  <si>
    <t>2-PROPENOIC ACID</t>
  </si>
  <si>
    <t>72,55,45</t>
  </si>
  <si>
    <t>2,4,-DI-t-BUTYL BENZOQUINONE***</t>
  </si>
  <si>
    <t>220,177,135</t>
  </si>
  <si>
    <t>2,6,-DI-t-BUTYL PHENOL*******</t>
  </si>
  <si>
    <t>206,191,57</t>
  </si>
  <si>
    <t>n-PENTADECANE *****</t>
  </si>
  <si>
    <t>212,57,43</t>
  </si>
  <si>
    <t>2,4,-DI-t-BUTYL PHENOL*******</t>
  </si>
  <si>
    <t>FARNESOL</t>
  </si>
  <si>
    <t>98,69,57</t>
  </si>
  <si>
    <t>2,6-DI-t-BUTYL-p-CRESOL</t>
  </si>
  <si>
    <t>220,205,145</t>
  </si>
  <si>
    <t>2-PHENYL PHENOL*</t>
  </si>
  <si>
    <t>170,141,73</t>
  </si>
  <si>
    <t>DODECANOIC ACID</t>
  </si>
  <si>
    <t>HEXAETHYLENE GLYCOL*</t>
  </si>
  <si>
    <t>89,73,58</t>
  </si>
  <si>
    <t>DIETHYL PHTHALATE</t>
  </si>
  <si>
    <t>177,149,105</t>
  </si>
  <si>
    <t>2-CYCLOHEXYL PHENOL*</t>
  </si>
  <si>
    <t>CETENE</t>
  </si>
  <si>
    <t>83,69,55</t>
  </si>
  <si>
    <t>2,4,4-TRIMETHYLPENTANE-1,3-DIYL BIS(2-METHYLPROPANOATE)</t>
  </si>
  <si>
    <t>159,111,71</t>
  </si>
  <si>
    <t>BENZOPHENONE*</t>
  </si>
  <si>
    <t>182,105,77</t>
  </si>
  <si>
    <t>1-PENTADECENE</t>
  </si>
  <si>
    <t>1-HEPTADECENE</t>
  </si>
  <si>
    <t>97,83,55</t>
  </si>
  <si>
    <t>n-(2,4-DIMETHYLPHENYL)-ACETAMIDE *</t>
  </si>
  <si>
    <t>4-(1,1,3,3-TETRAMETHYLBUTYL)-PHENOL *</t>
  </si>
  <si>
    <t>135,107,57</t>
  </si>
  <si>
    <t>4-t-OCTYLPHENOL</t>
  </si>
  <si>
    <t>3-METHYLACETANILIDE</t>
  </si>
  <si>
    <t>149,107,106</t>
  </si>
  <si>
    <t>2-t-BUTYL-6-METHYL PHENOL *</t>
  </si>
  <si>
    <t>149,121,107</t>
  </si>
  <si>
    <t>2,5-DIISOPROPYLPHENOL</t>
  </si>
  <si>
    <t>TETRADECANOIC ACID</t>
  </si>
  <si>
    <t>97,73,57</t>
  </si>
  <si>
    <t>3,5-DI-TERT-BUTYL-4-HYDROXYLBENZALDEHYDE</t>
  </si>
  <si>
    <t>219,109,57</t>
  </si>
  <si>
    <t>1-TETRADECENE</t>
  </si>
  <si>
    <t>207,71,55</t>
  </si>
  <si>
    <t>HEXACOSANE</t>
  </si>
  <si>
    <t>105,83,57</t>
  </si>
  <si>
    <t>CIS-11-HEXADECENAL</t>
  </si>
  <si>
    <t>D8-TOLUENE</t>
  </si>
  <si>
    <t>100,98,70</t>
  </si>
  <si>
    <t>* Toluene, ** a-pinene, *** 1,2 Dichlorbenzene, **** DGME, ***** Decane, ****** Nonanal, ******* BHT, ******** 1-Methyl Naphthalene, ******** Hexanal</t>
  </si>
  <si>
    <t>Samples taken</t>
  </si>
  <si>
    <t>Chamber background</t>
  </si>
  <si>
    <t>30 min</t>
  </si>
  <si>
    <t>1 hr</t>
  </si>
  <si>
    <t>2 hr</t>
  </si>
  <si>
    <t>4 hr</t>
  </si>
  <si>
    <t>Supply air</t>
  </si>
  <si>
    <t>Limit of detection</t>
  </si>
  <si>
    <t>Limit of quantification</t>
  </si>
  <si>
    <t>Methanol</t>
  </si>
  <si>
    <t>MKCM9104</t>
  </si>
  <si>
    <t>BCCJ6306</t>
  </si>
  <si>
    <t>BCCJ1406</t>
  </si>
  <si>
    <t>SHBN3409</t>
  </si>
  <si>
    <t>LRAD3314</t>
  </si>
  <si>
    <t>BCCG1496</t>
  </si>
  <si>
    <t>BCCK4079</t>
  </si>
  <si>
    <t>MKCV2137</t>
  </si>
  <si>
    <t>MKCS1058</t>
  </si>
  <si>
    <t>LRAD9557</t>
  </si>
  <si>
    <t>LRAD3917</t>
  </si>
  <si>
    <t>LRAD8157</t>
  </si>
  <si>
    <t>LRAD7900</t>
  </si>
  <si>
    <t>LRAD2251</t>
  </si>
  <si>
    <t>HWI03418</t>
  </si>
  <si>
    <t>2-ETHOXYETHANOL</t>
  </si>
  <si>
    <t>LRAE1188</t>
  </si>
  <si>
    <t>BCCK2661</t>
  </si>
  <si>
    <t>28,32,56</t>
  </si>
  <si>
    <t>104,103,28</t>
  </si>
  <si>
    <t>120,105,28</t>
  </si>
  <si>
    <t>41,57,43</t>
  </si>
  <si>
    <t>57,73,88</t>
  </si>
  <si>
    <t>77,41,57</t>
  </si>
  <si>
    <t>142,115,141</t>
  </si>
  <si>
    <t>136,95,121</t>
  </si>
  <si>
    <t>78,77,51</t>
  </si>
  <si>
    <t>45,59,72</t>
  </si>
  <si>
    <t>DECANAL******</t>
  </si>
  <si>
    <t>NONANOIC ACID</t>
  </si>
  <si>
    <t>BCCM9078</t>
  </si>
  <si>
    <t>Isobutanol</t>
  </si>
  <si>
    <t>Ethyl Methacrylate</t>
  </si>
  <si>
    <t>Tert Butyl Benzene</t>
  </si>
  <si>
    <t>Cymene</t>
  </si>
  <si>
    <t>A0222369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</si>
</sst>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m/d/yy;@"/>
    <numFmt numFmtId="167" formatCode="0.000"/>
  </numFmts>
  <fonts count="11" x14ac:knownFonts="1">
    <font>
      <sz val="12"/>
      <name val="Arial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11"/>
      <name val="Times New Roman"/>
      <family val="1"/>
    </font>
    <font>
      <sz val="10"/>
      <name val="Times New Roman"/>
      <family val="1"/>
    </font>
    <font>
      <sz val="12"/>
      <color rgb="FF000000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</borders>
  <cellStyleXfs count="2">
    <xf numFmtId="0" fontId="0" fillId="0" borderId="0"/>
    <xf numFmtId="0" fontId="1" fillId="0" borderId="0"/>
  </cellStyleXfs>
  <cellXfs count="11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1" xfId="0" applyFont="1" applyBorder="1"/>
    <xf numFmtId="165" fontId="2" fillId="0" borderId="0" xfId="0" applyNumberFormat="1" applyFont="1"/>
    <xf numFmtId="0" fontId="5" fillId="0" borderId="0" xfId="0" applyFont="1"/>
    <xf numFmtId="0" fontId="2" fillId="0" borderId="4" xfId="0" applyFont="1" applyBorder="1"/>
    <xf numFmtId="0" fontId="2" fillId="0" borderId="4" xfId="0" applyFont="1" applyBorder="1" applyAlignment="1">
      <alignment horizontal="right"/>
    </xf>
    <xf numFmtId="0" fontId="1" fillId="0" borderId="4" xfId="0" applyFont="1" applyBorder="1"/>
    <xf numFmtId="0" fontId="4" fillId="0" borderId="4" xfId="0" applyFont="1" applyBorder="1"/>
    <xf numFmtId="0" fontId="2" fillId="2" borderId="4" xfId="0" applyFont="1" applyFill="1" applyBorder="1" applyAlignment="1">
      <alignment horizontal="center"/>
    </xf>
    <xf numFmtId="164" fontId="2" fillId="2" borderId="4" xfId="0" applyNumberFormat="1" applyFont="1" applyFill="1" applyBorder="1"/>
    <xf numFmtId="0" fontId="2" fillId="0" borderId="6" xfId="0" applyFont="1" applyBorder="1"/>
    <xf numFmtId="0" fontId="6" fillId="0" borderId="1" xfId="0" applyFont="1" applyBorder="1" applyAlignment="1">
      <alignment horizontal="center"/>
    </xf>
    <xf numFmtId="0" fontId="2" fillId="0" borderId="1" xfId="0" applyFont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165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right"/>
    </xf>
    <xf numFmtId="0" fontId="1" fillId="0" borderId="9" xfId="0" applyFont="1" applyBorder="1"/>
    <xf numFmtId="0" fontId="2" fillId="2" borderId="9" xfId="0" applyFont="1" applyFill="1" applyBorder="1" applyAlignment="1">
      <alignment horizontal="center"/>
    </xf>
    <xf numFmtId="0" fontId="2" fillId="0" borderId="10" xfId="0" applyFont="1" applyBorder="1"/>
    <xf numFmtId="0" fontId="0" fillId="0" borderId="10" xfId="0" applyBorder="1"/>
    <xf numFmtId="164" fontId="5" fillId="0" borderId="0" xfId="0" applyNumberFormat="1" applyFont="1"/>
    <xf numFmtId="164" fontId="6" fillId="0" borderId="1" xfId="0" applyNumberFormat="1" applyFont="1" applyBorder="1"/>
    <xf numFmtId="14" fontId="5" fillId="0" borderId="0" xfId="0" applyNumberFormat="1" applyFont="1"/>
    <xf numFmtId="164" fontId="5" fillId="0" borderId="1" xfId="0" applyNumberFormat="1" applyFont="1" applyBorder="1" applyAlignment="1">
      <alignment horizontal="right"/>
    </xf>
    <xf numFmtId="166" fontId="5" fillId="0" borderId="1" xfId="0" applyNumberFormat="1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166" fontId="5" fillId="0" borderId="1" xfId="0" quotePrefix="1" applyNumberFormat="1" applyFont="1" applyBorder="1" applyAlignment="1">
      <alignment horizontal="right"/>
    </xf>
    <xf numFmtId="0" fontId="5" fillId="0" borderId="1" xfId="0" applyFont="1" applyBorder="1"/>
    <xf numFmtId="166" fontId="5" fillId="0" borderId="1" xfId="0" applyNumberFormat="1" applyFont="1" applyBorder="1"/>
    <xf numFmtId="164" fontId="5" fillId="0" borderId="1" xfId="0" applyNumberFormat="1" applyFont="1" applyBorder="1"/>
    <xf numFmtId="164" fontId="5" fillId="0" borderId="1" xfId="1" applyNumberFormat="1" applyFont="1" applyBorder="1" applyAlignment="1">
      <alignment horizontal="right"/>
    </xf>
    <xf numFmtId="166" fontId="5" fillId="0" borderId="1" xfId="1" applyNumberFormat="1" applyFont="1" applyBorder="1" applyAlignment="1">
      <alignment horizontal="right"/>
    </xf>
    <xf numFmtId="164" fontId="5" fillId="0" borderId="11" xfId="0" applyNumberFormat="1" applyFont="1" applyBorder="1" applyAlignment="1">
      <alignment horizontal="right"/>
    </xf>
    <xf numFmtId="0" fontId="5" fillId="0" borderId="11" xfId="0" applyFont="1" applyBorder="1"/>
    <xf numFmtId="166" fontId="5" fillId="0" borderId="11" xfId="0" applyNumberFormat="1" applyFont="1" applyBorder="1" applyAlignment="1">
      <alignment horizontal="right"/>
    </xf>
    <xf numFmtId="164" fontId="5" fillId="0" borderId="3" xfId="0" applyNumberFormat="1" applyFont="1" applyBorder="1" applyAlignment="1">
      <alignment horizontal="right"/>
    </xf>
    <xf numFmtId="166" fontId="5" fillId="0" borderId="3" xfId="0" quotePrefix="1" applyNumberFormat="1" applyFont="1" applyBorder="1" applyAlignment="1">
      <alignment horizontal="right"/>
    </xf>
    <xf numFmtId="166" fontId="5" fillId="0" borderId="1" xfId="1" quotePrefix="1" applyNumberFormat="1" applyFont="1" applyBorder="1" applyAlignment="1">
      <alignment horizontal="right"/>
    </xf>
    <xf numFmtId="164" fontId="5" fillId="0" borderId="14" xfId="0" applyNumberFormat="1" applyFont="1" applyBorder="1" applyAlignment="1">
      <alignment horizontal="right"/>
    </xf>
    <xf numFmtId="166" fontId="5" fillId="0" borderId="14" xfId="0" quotePrefix="1" applyNumberFormat="1" applyFont="1" applyBorder="1" applyAlignment="1">
      <alignment horizontal="right"/>
    </xf>
    <xf numFmtId="2" fontId="5" fillId="0" borderId="1" xfId="0" applyNumberFormat="1" applyFon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2" fontId="5" fillId="0" borderId="1" xfId="0" applyNumberFormat="1" applyFont="1" applyBorder="1" applyAlignment="1">
      <alignment horizontal="right"/>
    </xf>
    <xf numFmtId="2" fontId="7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quotePrefix="1" applyNumberFormat="1" applyFont="1" applyBorder="1" applyAlignment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164" fontId="5" fillId="0" borderId="5" xfId="0" applyNumberFormat="1" applyFont="1" applyBorder="1" applyAlignment="1">
      <alignment horizontal="center"/>
    </xf>
    <xf numFmtId="164" fontId="5" fillId="0" borderId="5" xfId="0" applyNumberFormat="1" applyFont="1" applyBorder="1"/>
    <xf numFmtId="2" fontId="5" fillId="0" borderId="5" xfId="0" applyNumberFormat="1" applyFont="1" applyBorder="1" applyAlignment="1">
      <alignment horizontal="center"/>
    </xf>
    <xf numFmtId="0" fontId="5" fillId="0" borderId="13" xfId="0" applyFont="1" applyBorder="1"/>
    <xf numFmtId="2" fontId="5" fillId="0" borderId="14" xfId="0" applyNumberFormat="1" applyFont="1" applyBorder="1" applyAlignment="1">
      <alignment horizontal="center"/>
    </xf>
    <xf numFmtId="164" fontId="5" fillId="0" borderId="13" xfId="0" applyNumberFormat="1" applyFont="1" applyBorder="1"/>
    <xf numFmtId="2" fontId="5" fillId="0" borderId="11" xfId="0" applyNumberFormat="1" applyFont="1" applyBorder="1" applyAlignment="1">
      <alignment horizontal="center"/>
    </xf>
    <xf numFmtId="164" fontId="5" fillId="0" borderId="11" xfId="0" applyNumberFormat="1" applyFont="1" applyBorder="1" applyAlignment="1">
      <alignment horizontal="center"/>
    </xf>
    <xf numFmtId="2" fontId="5" fillId="0" borderId="11" xfId="0" applyNumberFormat="1" applyFont="1" applyBorder="1"/>
    <xf numFmtId="164" fontId="5" fillId="0" borderId="11" xfId="0" applyNumberFormat="1" applyFont="1" applyBorder="1"/>
    <xf numFmtId="2" fontId="5" fillId="0" borderId="1" xfId="0" applyNumberFormat="1" applyFont="1" applyBorder="1"/>
    <xf numFmtId="164" fontId="5" fillId="0" borderId="3" xfId="0" applyNumberFormat="1" applyFont="1" applyBorder="1"/>
    <xf numFmtId="0" fontId="5" fillId="0" borderId="1" xfId="1" applyFont="1" applyBorder="1"/>
    <xf numFmtId="2" fontId="5" fillId="0" borderId="1" xfId="1" applyNumberFormat="1" applyFont="1" applyBorder="1" applyAlignment="1">
      <alignment horizontal="center"/>
    </xf>
    <xf numFmtId="164" fontId="5" fillId="0" borderId="1" xfId="1" applyNumberFormat="1" applyFont="1" applyBorder="1" applyAlignment="1">
      <alignment horizontal="center"/>
    </xf>
    <xf numFmtId="164" fontId="5" fillId="0" borderId="1" xfId="1" applyNumberFormat="1" applyFont="1" applyBorder="1"/>
    <xf numFmtId="0" fontId="5" fillId="0" borderId="8" xfId="0" applyFont="1" applyBorder="1"/>
    <xf numFmtId="0" fontId="5" fillId="0" borderId="2" xfId="0" applyFont="1" applyBorder="1"/>
    <xf numFmtId="2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1" xfId="1" applyFont="1" applyBorder="1" applyAlignment="1">
      <alignment horizontal="center"/>
    </xf>
    <xf numFmtId="14" fontId="5" fillId="0" borderId="1" xfId="0" applyNumberFormat="1" applyFont="1" applyBorder="1" applyAlignment="1">
      <alignment horizontal="right"/>
    </xf>
    <xf numFmtId="0" fontId="5" fillId="3" borderId="1" xfId="0" applyFont="1" applyFill="1" applyBorder="1"/>
    <xf numFmtId="14" fontId="5" fillId="0" borderId="1" xfId="0" applyNumberFormat="1" applyFont="1" applyBorder="1"/>
    <xf numFmtId="2" fontId="5" fillId="0" borderId="0" xfId="0" applyNumberFormat="1" applyFont="1"/>
    <xf numFmtId="2" fontId="6" fillId="0" borderId="1" xfId="0" applyNumberFormat="1" applyFont="1" applyBorder="1" applyAlignment="1">
      <alignment horizontal="center"/>
    </xf>
    <xf numFmtId="164" fontId="5" fillId="0" borderId="16" xfId="0" applyNumberFormat="1" applyFont="1" applyBorder="1" applyAlignment="1">
      <alignment horizontal="center"/>
    </xf>
    <xf numFmtId="2" fontId="5" fillId="0" borderId="15" xfId="0" applyNumberFormat="1" applyFont="1" applyBorder="1" applyAlignment="1">
      <alignment horizontal="right"/>
    </xf>
    <xf numFmtId="2" fontId="5" fillId="0" borderId="11" xfId="0" applyNumberFormat="1" applyFont="1" applyBorder="1" applyAlignment="1">
      <alignment horizontal="right"/>
    </xf>
    <xf numFmtId="0" fontId="7" fillId="0" borderId="1" xfId="0" applyFont="1" applyBorder="1"/>
    <xf numFmtId="167" fontId="5" fillId="0" borderId="1" xfId="0" applyNumberFormat="1" applyFont="1" applyBorder="1"/>
    <xf numFmtId="167" fontId="5" fillId="0" borderId="1" xfId="1" applyNumberFormat="1" applyFont="1" applyBorder="1"/>
    <xf numFmtId="167" fontId="5" fillId="0" borderId="1" xfId="0" applyNumberFormat="1" applyFont="1" applyBorder="1" applyAlignment="1">
      <alignment horizontal="right"/>
    </xf>
    <xf numFmtId="167" fontId="5" fillId="0" borderId="8" xfId="0" applyNumberFormat="1" applyFont="1" applyBorder="1" applyAlignment="1">
      <alignment horizontal="right"/>
    </xf>
    <xf numFmtId="167" fontId="5" fillId="0" borderId="0" xfId="0" applyNumberFormat="1" applyFont="1"/>
    <xf numFmtId="167" fontId="5" fillId="0" borderId="3" xfId="0" applyNumberFormat="1" applyFont="1" applyBorder="1"/>
    <xf numFmtId="167" fontId="5" fillId="0" borderId="14" xfId="0" applyNumberFormat="1" applyFont="1" applyBorder="1"/>
    <xf numFmtId="167" fontId="5" fillId="0" borderId="11" xfId="0" applyNumberFormat="1" applyFont="1" applyBorder="1"/>
    <xf numFmtId="167" fontId="5" fillId="0" borderId="5" xfId="0" applyNumberFormat="1" applyFont="1" applyBorder="1"/>
    <xf numFmtId="0" fontId="1" fillId="0" borderId="12" xfId="0" applyFont="1" applyBorder="1"/>
    <xf numFmtId="0" fontId="1" fillId="0" borderId="6" xfId="0" applyFont="1" applyBorder="1"/>
    <xf numFmtId="0" fontId="2" fillId="0" borderId="0" xfId="0" quotePrefix="1" applyFont="1"/>
    <xf numFmtId="49" fontId="5" fillId="0" borderId="1" xfId="0" applyNumberFormat="1" applyFont="1" applyBorder="1" applyAlignment="1">
      <alignment horizontal="right"/>
    </xf>
    <xf numFmtId="49" fontId="5" fillId="0" borderId="0" xfId="0" applyNumberFormat="1" applyFont="1"/>
    <xf numFmtId="49" fontId="6" fillId="0" borderId="1" xfId="0" applyNumberFormat="1" applyFont="1" applyBorder="1" applyAlignment="1">
      <alignment horizontal="center"/>
    </xf>
    <xf numFmtId="49" fontId="7" fillId="0" borderId="1" xfId="0" applyNumberFormat="1" applyFont="1" applyBorder="1" applyAlignment="1">
      <alignment horizontal="right"/>
    </xf>
    <xf numFmtId="49" fontId="5" fillId="0" borderId="1" xfId="0" quotePrefix="1" applyNumberFormat="1" applyFont="1" applyBorder="1" applyAlignment="1">
      <alignment horizontal="right"/>
    </xf>
    <xf numFmtId="49" fontId="5" fillId="0" borderId="7" xfId="0" applyNumberFormat="1" applyFont="1" applyBorder="1" applyAlignment="1">
      <alignment horizontal="right"/>
    </xf>
    <xf numFmtId="49" fontId="5" fillId="0" borderId="14" xfId="0" applyNumberFormat="1" applyFont="1" applyBorder="1" applyAlignment="1">
      <alignment horizontal="right"/>
    </xf>
    <xf numFmtId="49" fontId="5" fillId="0" borderId="11" xfId="0" applyNumberFormat="1" applyFont="1" applyBorder="1" applyAlignment="1">
      <alignment horizontal="right"/>
    </xf>
    <xf numFmtId="0" fontId="6" fillId="0" borderId="1" xfId="0" applyFont="1" applyBorder="1"/>
    <xf numFmtId="0" fontId="1" fillId="0" borderId="17" xfId="0" applyFont="1" applyBorder="1"/>
    <xf numFmtId="0" fontId="1" fillId="0" borderId="18" xfId="0" applyFont="1" applyBorder="1"/>
    <xf numFmtId="0" fontId="8" fillId="0" borderId="1" xfId="0" applyFont="1" applyBorder="1" applyAlignment="1">
      <alignment horizontal="left"/>
    </xf>
    <xf numFmtId="0" fontId="5" fillId="0" borderId="0" xfId="0" applyFont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5" fillId="0" borderId="1" xfId="1" applyNumberFormat="1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49" fontId="5" fillId="0" borderId="1" xfId="0" applyNumberFormat="1" applyFont="1" applyBorder="1"/>
    <xf numFmtId="166" fontId="5" fillId="0" borderId="8" xfId="0" applyNumberFormat="1" applyFont="1" applyBorder="1" applyAlignment="1">
      <alignment horizontal="right"/>
    </xf>
  </cellXfs>
  <cellStyles count="2">
    <cellStyle name="Normal" xfId="0" builtinId="0"/>
    <cellStyle name="Normal 2" xfId="1" xr:uid="{2C95A5DC-48F3-4738-9890-85D65CBFA14C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787400</xdr:colOff>
          <xdr:row>2</xdr:row>
          <xdr:rowOff>0</xdr:rowOff>
        </xdr:from>
        <xdr:to>
          <xdr:col>5</xdr:col>
          <xdr:colOff>635000</xdr:colOff>
          <xdr:row>5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Select sample components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520700</xdr:colOff>
          <xdr:row>1</xdr:row>
          <xdr:rowOff>177800</xdr:rowOff>
        </xdr:from>
        <xdr:to>
          <xdr:col>11</xdr:col>
          <xdr:colOff>304800</xdr:colOff>
          <xdr:row>5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sheets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(excluding Chemical data)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660400</xdr:colOff>
          <xdr:row>0</xdr:row>
          <xdr:rowOff>88900</xdr:rowOff>
        </xdr:from>
        <xdr:to>
          <xdr:col>10</xdr:col>
          <xdr:colOff>711200</xdr:colOff>
          <xdr:row>2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Get regressions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398"/>
  <sheetViews>
    <sheetView zoomScale="85" zoomScaleNormal="85" workbookViewId="0">
      <selection activeCell="E19" sqref="E19"/>
    </sheetView>
  </sheetViews>
  <sheetFormatPr baseColWidth="10" defaultColWidth="8.7109375" defaultRowHeight="16" x14ac:dyDescent="0.2"/>
  <cols>
    <col min="1" max="1" width="37.140625" bestFit="1" customWidth="1"/>
    <col min="2" max="2" width="10.7109375" customWidth="1"/>
    <col min="3" max="3" width="12" customWidth="1"/>
    <col min="4" max="4" width="8.85546875" customWidth="1"/>
    <col min="5" max="5" width="5.7109375" customWidth="1"/>
    <col min="6" max="6" width="10.28515625" customWidth="1"/>
    <col min="7" max="7" width="10" customWidth="1"/>
    <col min="8" max="8" width="11.5703125" customWidth="1"/>
    <col min="9" max="9" width="9.28515625" customWidth="1"/>
    <col min="10" max="10" width="7.7109375" customWidth="1"/>
    <col min="11" max="11" width="10.5703125" customWidth="1"/>
    <col min="12" max="12" width="8.5703125" customWidth="1"/>
    <col min="13" max="13" width="10.7109375" customWidth="1"/>
    <col min="14" max="14" width="30.140625" customWidth="1"/>
    <col min="15" max="15" width="9.140625" customWidth="1"/>
    <col min="16" max="16" width="7.85546875" bestFit="1" customWidth="1"/>
    <col min="17" max="19" width="6.140625" bestFit="1" customWidth="1"/>
    <col min="20" max="20" width="5.85546875" bestFit="1" customWidth="1"/>
    <col min="21" max="24" width="7.7109375" customWidth="1"/>
    <col min="25" max="35" width="6.7109375" customWidth="1"/>
    <col min="36" max="36" width="5.7109375" customWidth="1"/>
    <col min="37" max="37" width="5.28515625" customWidth="1"/>
    <col min="38" max="38" width="6.28515625" customWidth="1"/>
    <col min="39" max="39" width="6.85546875" customWidth="1"/>
    <col min="40" max="229" width="9.7109375" customWidth="1"/>
  </cols>
  <sheetData>
    <row r="1" ht="13.25" customHeight="1" x14ac:dyDescent="0.2"/>
    <row r="398" ht="15" customHeight="1" x14ac:dyDescent="0.2"/>
  </sheetData>
  <pageMargins left="0.5" right="0.5" top="0.5" bottom="0.5" header="0" footer="0"/>
  <pageSetup fitToHeight="0" orientation="portrait" r:id="rId1"/>
  <headerFooter alignWithMargins="0">
    <oddFooter>&amp;L&amp;11 1396_20&amp;C&amp;11&amp;P  of  &amp;N&amp;R&amp;11 02/10/20; RNM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open_sample_components">
                <anchor moveWithCells="1" sizeWithCells="1">
                  <from>
                    <xdr:col>2</xdr:col>
                    <xdr:colOff>787400</xdr:colOff>
                    <xdr:row>2</xdr:row>
                    <xdr:rowOff>0</xdr:rowOff>
                  </from>
                  <to>
                    <xdr:col>5</xdr:col>
                    <xdr:colOff>635000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lear_calibrations_ret_times">
                <anchor moveWithCells="1" sizeWithCells="1">
                  <from>
                    <xdr:col>8</xdr:col>
                    <xdr:colOff>520700</xdr:colOff>
                    <xdr:row>1</xdr:row>
                    <xdr:rowOff>177800</xdr:rowOff>
                  </from>
                  <to>
                    <xdr:col>11</xdr:col>
                    <xdr:colOff>304800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6EBC0-394C-4F00-88F6-CF7D81B2249A}">
  <sheetPr codeName="Sheet2">
    <pageSetUpPr fitToPage="1"/>
  </sheetPr>
  <dimension ref="A1"/>
  <sheetViews>
    <sheetView topLeftCell="D1" zoomScale="80" zoomScaleNormal="80" workbookViewId="0">
      <selection activeCell="AD20" sqref="AD20"/>
    </sheetView>
  </sheetViews>
  <sheetFormatPr baseColWidth="10" defaultColWidth="8.7109375" defaultRowHeight="16" x14ac:dyDescent="0.2"/>
  <cols>
    <col min="1" max="1" width="41.28515625" customWidth="1"/>
    <col min="2" max="2" width="16.7109375" customWidth="1"/>
    <col min="3" max="11" width="8.85546875" bestFit="1" customWidth="1"/>
    <col min="13" max="13" width="8.7109375" customWidth="1"/>
    <col min="14" max="16" width="8.85546875" bestFit="1" customWidth="1"/>
    <col min="17" max="17" width="11.28515625" bestFit="1" customWidth="1"/>
    <col min="18" max="18" width="8.85546875" bestFit="1" customWidth="1"/>
    <col min="21" max="21" width="11.42578125" bestFit="1" customWidth="1"/>
    <col min="23" max="23" width="8.85546875" bestFit="1" customWidth="1"/>
    <col min="25" max="25" width="8.85546875" bestFit="1" customWidth="1"/>
  </cols>
  <sheetData/>
  <pageMargins left="0.7" right="0.7" top="0.75" bottom="0.75" header="0.3" footer="0.3"/>
  <pageSetup scale="3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t_regressions">
                <anchor moveWithCells="1" sizeWithCells="1">
                  <from>
                    <xdr:col>8</xdr:col>
                    <xdr:colOff>660400</xdr:colOff>
                    <xdr:row>0</xdr:row>
                    <xdr:rowOff>88900</xdr:rowOff>
                  </from>
                  <to>
                    <xdr:col>10</xdr:col>
                    <xdr:colOff>711200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37C12-1123-4460-BBAA-84565D1E2461}">
  <sheetPr codeName="Sheet3">
    <pageSetUpPr fitToPage="1"/>
  </sheetPr>
  <dimension ref="A1"/>
  <sheetViews>
    <sheetView zoomScale="80" zoomScaleNormal="80" workbookViewId="0">
      <selection activeCell="C128" sqref="C128"/>
    </sheetView>
  </sheetViews>
  <sheetFormatPr baseColWidth="10" defaultColWidth="8.7109375" defaultRowHeight="16" x14ac:dyDescent="0.2"/>
  <cols>
    <col min="1" max="1" width="15.85546875" customWidth="1"/>
    <col min="3" max="3" width="11.5703125" bestFit="1" customWidth="1"/>
    <col min="4" max="4" width="14.5703125" customWidth="1"/>
    <col min="5" max="5" width="12.5703125" customWidth="1"/>
  </cols>
  <sheetData/>
  <pageMargins left="0.7" right="0.7" top="0.75" bottom="0.75" header="0.3" footer="0.3"/>
  <pageSetup scale="87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A223F-7D21-4999-8EFB-02DB7F095042}">
  <sheetPr codeName="Sheet4"/>
  <dimension ref="A2:P194"/>
  <sheetViews>
    <sheetView tabSelected="1" zoomScale="94" zoomScaleNormal="100" workbookViewId="0">
      <selection activeCell="G25" sqref="G25"/>
    </sheetView>
  </sheetViews>
  <sheetFormatPr baseColWidth="10" defaultColWidth="8.7109375" defaultRowHeight="16" x14ac:dyDescent="0.2"/>
  <cols>
    <col min="1" max="1" width="45.7109375" style="5" customWidth="1"/>
    <col min="2" max="2" width="7" style="5" customWidth="1"/>
    <col min="3" max="3" width="6.7109375" style="5" customWidth="1"/>
    <col min="4" max="4" width="5.7109375" style="5" customWidth="1"/>
    <col min="5" max="5" width="12.5703125" style="74" customWidth="1"/>
    <col min="6" max="6" width="9.7109375" style="5" customWidth="1"/>
    <col min="7" max="7" width="5.7109375" style="23" customWidth="1"/>
    <col min="8" max="8" width="25.140625" style="104" customWidth="1"/>
    <col min="9" max="9" width="22.42578125" style="5" customWidth="1"/>
    <col min="10" max="10" width="5.85546875" style="5" bestFit="1" customWidth="1"/>
    <col min="11" max="11" width="10.7109375" style="93" bestFit="1" customWidth="1"/>
  </cols>
  <sheetData>
    <row r="2" spans="1:16" x14ac:dyDescent="0.2">
      <c r="A2" s="5" t="s">
        <v>0</v>
      </c>
      <c r="B2" s="15"/>
    </row>
    <row r="3" spans="1:16" x14ac:dyDescent="0.2">
      <c r="A3" s="5" t="s">
        <v>1</v>
      </c>
      <c r="B3" s="15"/>
    </row>
    <row r="4" spans="1:16" x14ac:dyDescent="0.2">
      <c r="B4" s="15"/>
      <c r="I4" s="25"/>
    </row>
    <row r="5" spans="1:16" x14ac:dyDescent="0.2">
      <c r="A5" s="16" t="s">
        <v>2</v>
      </c>
      <c r="B5" s="17">
        <v>2.0489999999999999</v>
      </c>
      <c r="C5" s="18" t="s">
        <v>3</v>
      </c>
    </row>
    <row r="7" spans="1:16" x14ac:dyDescent="0.2">
      <c r="A7" s="100" t="s">
        <v>4</v>
      </c>
      <c r="B7" s="13" t="s">
        <v>5</v>
      </c>
      <c r="C7" s="13" t="s">
        <v>6</v>
      </c>
      <c r="D7" s="13" t="s">
        <v>7</v>
      </c>
      <c r="E7" s="75" t="s">
        <v>8</v>
      </c>
      <c r="F7" s="24" t="s">
        <v>9</v>
      </c>
      <c r="G7" s="24" t="s">
        <v>10</v>
      </c>
      <c r="H7" s="105" t="s">
        <v>11</v>
      </c>
      <c r="I7" s="13" t="s">
        <v>12</v>
      </c>
      <c r="J7" s="13" t="s">
        <v>13</v>
      </c>
      <c r="K7" s="94" t="s">
        <v>14</v>
      </c>
      <c r="L7" s="2"/>
      <c r="M7" s="3" t="s">
        <v>15</v>
      </c>
      <c r="N7" s="3" t="s">
        <v>16</v>
      </c>
    </row>
    <row r="8" spans="1:16" x14ac:dyDescent="0.2">
      <c r="A8" s="30" t="s">
        <v>17</v>
      </c>
      <c r="B8" s="43">
        <v>53.06</v>
      </c>
      <c r="C8" s="82">
        <v>0.8004</v>
      </c>
      <c r="D8" s="44">
        <v>1</v>
      </c>
      <c r="E8" s="45">
        <f>C8*D8/$B$5*G8/100</f>
        <v>0.38867642752562226</v>
      </c>
      <c r="F8" s="26">
        <v>77.2</v>
      </c>
      <c r="G8" s="26">
        <v>99.5</v>
      </c>
      <c r="H8" s="107" t="s">
        <v>354</v>
      </c>
      <c r="I8" s="27">
        <v>46784</v>
      </c>
      <c r="J8" s="46"/>
      <c r="K8" s="95" t="s">
        <v>18</v>
      </c>
      <c r="L8" s="2"/>
      <c r="M8" s="14">
        <v>10</v>
      </c>
      <c r="N8" s="14">
        <v>1</v>
      </c>
    </row>
    <row r="9" spans="1:16" x14ac:dyDescent="0.2">
      <c r="A9" s="30" t="s">
        <v>19</v>
      </c>
      <c r="B9" s="43">
        <v>41.05</v>
      </c>
      <c r="C9" s="80">
        <v>0.78749999999999998</v>
      </c>
      <c r="D9" s="44">
        <v>1</v>
      </c>
      <c r="E9" s="45">
        <f t="shared" ref="E9:E71" si="0">C9*D9/$B$5*G9/100</f>
        <v>0.38241215226939973</v>
      </c>
      <c r="F9" s="23">
        <v>81.599999999999994</v>
      </c>
      <c r="G9" s="26">
        <v>99.5</v>
      </c>
      <c r="H9" s="107" t="s">
        <v>354</v>
      </c>
      <c r="I9" s="29">
        <v>46784</v>
      </c>
      <c r="J9" s="46"/>
      <c r="K9" s="95" t="s">
        <v>20</v>
      </c>
      <c r="L9" s="2"/>
      <c r="M9" s="14">
        <v>50</v>
      </c>
      <c r="N9" s="14">
        <v>3</v>
      </c>
      <c r="P9" s="1"/>
    </row>
    <row r="10" spans="1:16" x14ac:dyDescent="0.2">
      <c r="A10" s="30" t="s">
        <v>21</v>
      </c>
      <c r="B10" s="43">
        <v>72.11</v>
      </c>
      <c r="C10" s="82">
        <v>0.80500000000000005</v>
      </c>
      <c r="D10" s="44">
        <v>1</v>
      </c>
      <c r="E10" s="45">
        <f t="shared" si="0"/>
        <v>0.39091020009760863</v>
      </c>
      <c r="F10" s="26">
        <v>79.599999999999994</v>
      </c>
      <c r="G10" s="26">
        <v>99.5</v>
      </c>
      <c r="H10" s="106">
        <v>7007600</v>
      </c>
      <c r="I10" s="27">
        <v>44347</v>
      </c>
      <c r="J10" s="43"/>
      <c r="K10" s="92" t="s">
        <v>22</v>
      </c>
      <c r="L10" s="2"/>
      <c r="M10" s="14">
        <v>250</v>
      </c>
      <c r="N10" s="14">
        <v>6</v>
      </c>
    </row>
    <row r="11" spans="1:16" x14ac:dyDescent="0.2">
      <c r="A11" s="30" t="s">
        <v>23</v>
      </c>
      <c r="B11" s="43">
        <v>58.8</v>
      </c>
      <c r="C11" s="80">
        <v>0.78449999999999998</v>
      </c>
      <c r="D11" s="44">
        <v>1</v>
      </c>
      <c r="E11" s="45">
        <f t="shared" si="0"/>
        <v>0.3809553440702782</v>
      </c>
      <c r="F11" s="32">
        <v>56.1</v>
      </c>
      <c r="G11" s="26">
        <v>99.5</v>
      </c>
      <c r="H11" s="107">
        <v>9073600</v>
      </c>
      <c r="I11" s="29">
        <v>45138</v>
      </c>
      <c r="J11" s="46"/>
      <c r="K11" s="95" t="s">
        <v>24</v>
      </c>
      <c r="L11" s="2"/>
      <c r="M11" s="14">
        <v>500</v>
      </c>
      <c r="N11" s="14">
        <v>12</v>
      </c>
    </row>
    <row r="12" spans="1:16" x14ac:dyDescent="0.2">
      <c r="A12" s="30" t="s">
        <v>25</v>
      </c>
      <c r="B12" s="43">
        <v>88.11</v>
      </c>
      <c r="C12" s="80">
        <v>0.90029999999999999</v>
      </c>
      <c r="D12" s="44">
        <v>100</v>
      </c>
      <c r="E12" s="45">
        <f>C12*D12*G12/1000</f>
        <v>8.9579850000000008</v>
      </c>
      <c r="F12" s="32">
        <v>176</v>
      </c>
      <c r="G12" s="26">
        <v>99.5</v>
      </c>
      <c r="H12" s="107">
        <v>7518400</v>
      </c>
      <c r="I12" s="27">
        <v>44712</v>
      </c>
      <c r="J12" s="43"/>
      <c r="K12" s="92" t="s">
        <v>26</v>
      </c>
      <c r="L12" s="2"/>
      <c r="M12" s="14">
        <v>1000</v>
      </c>
      <c r="N12" s="14">
        <v>25</v>
      </c>
    </row>
    <row r="13" spans="1:16" x14ac:dyDescent="0.2">
      <c r="A13" s="30" t="s">
        <v>27</v>
      </c>
      <c r="B13" s="47">
        <v>211.3</v>
      </c>
      <c r="C13" s="80">
        <v>0.67</v>
      </c>
      <c r="D13" s="44">
        <v>1</v>
      </c>
      <c r="E13" s="45">
        <f t="shared" si="0"/>
        <v>0.32535383113714006</v>
      </c>
      <c r="F13" s="32">
        <v>44.6</v>
      </c>
      <c r="G13" s="26">
        <v>99.5</v>
      </c>
      <c r="H13" s="107">
        <v>10590500</v>
      </c>
      <c r="I13" s="29">
        <v>46265</v>
      </c>
      <c r="J13" s="48"/>
      <c r="K13" s="96" t="s">
        <v>28</v>
      </c>
      <c r="L13" s="2"/>
      <c r="M13" s="14">
        <v>1500</v>
      </c>
      <c r="N13" s="14">
        <v>50</v>
      </c>
    </row>
    <row r="14" spans="1:16" x14ac:dyDescent="0.2">
      <c r="A14" s="30" t="s">
        <v>29</v>
      </c>
      <c r="B14" s="47">
        <v>100.2</v>
      </c>
      <c r="C14" s="80">
        <v>0.67400000000000004</v>
      </c>
      <c r="D14" s="44">
        <v>1</v>
      </c>
      <c r="E14" s="45">
        <f t="shared" si="0"/>
        <v>0.32532259638848227</v>
      </c>
      <c r="F14" s="32">
        <v>79.2</v>
      </c>
      <c r="G14" s="26">
        <v>98.9</v>
      </c>
      <c r="H14" s="107">
        <v>10590500</v>
      </c>
      <c r="I14" s="29">
        <v>46265</v>
      </c>
      <c r="J14" s="48"/>
      <c r="K14" s="96" t="s">
        <v>30</v>
      </c>
      <c r="L14" s="2"/>
    </row>
    <row r="15" spans="1:16" s="1" customFormat="1" x14ac:dyDescent="0.2">
      <c r="A15" s="30" t="s">
        <v>31</v>
      </c>
      <c r="B15" s="47">
        <v>100.2</v>
      </c>
      <c r="C15" s="80">
        <v>0.67300000000000004</v>
      </c>
      <c r="D15" s="44">
        <v>1</v>
      </c>
      <c r="E15" s="45">
        <f t="shared" si="0"/>
        <v>0.32483992191312844</v>
      </c>
      <c r="F15" s="32">
        <v>80</v>
      </c>
      <c r="G15" s="26">
        <v>98.9</v>
      </c>
      <c r="H15" s="107">
        <v>10590500</v>
      </c>
      <c r="I15" s="29">
        <v>46265</v>
      </c>
      <c r="J15" s="48"/>
      <c r="K15" s="96" t="s">
        <v>30</v>
      </c>
      <c r="L15" s="2"/>
    </row>
    <row r="16" spans="1:16" x14ac:dyDescent="0.2">
      <c r="A16" s="30" t="s">
        <v>32</v>
      </c>
      <c r="B16" s="47">
        <v>119.37</v>
      </c>
      <c r="C16" s="80">
        <v>1.4787999999999999</v>
      </c>
      <c r="D16" s="44">
        <v>1</v>
      </c>
      <c r="E16" s="45">
        <f t="shared" si="0"/>
        <v>0.7181093216203025</v>
      </c>
      <c r="F16" s="32">
        <v>61.1</v>
      </c>
      <c r="G16" s="32">
        <v>99.5</v>
      </c>
      <c r="H16" s="107" t="s">
        <v>354</v>
      </c>
      <c r="I16" s="31">
        <v>46784</v>
      </c>
      <c r="J16" s="43"/>
      <c r="K16" s="92" t="s">
        <v>33</v>
      </c>
      <c r="L16" s="2"/>
    </row>
    <row r="17" spans="1:14" x14ac:dyDescent="0.2">
      <c r="A17" s="30" t="s">
        <v>34</v>
      </c>
      <c r="B17" s="43">
        <v>60.05</v>
      </c>
      <c r="C17" s="82">
        <v>1.0489999999999999</v>
      </c>
      <c r="D17" s="44">
        <v>100</v>
      </c>
      <c r="E17" s="58">
        <f>C17*D17*G17/1000</f>
        <v>10.49</v>
      </c>
      <c r="F17" s="26">
        <v>117.9</v>
      </c>
      <c r="G17" s="26">
        <v>100</v>
      </c>
      <c r="H17" s="106" t="s">
        <v>330</v>
      </c>
      <c r="I17" s="27">
        <v>46965</v>
      </c>
      <c r="J17" s="43">
        <v>5.8</v>
      </c>
      <c r="K17" s="92" t="s">
        <v>35</v>
      </c>
      <c r="L17" s="2"/>
    </row>
    <row r="18" spans="1:14" x14ac:dyDescent="0.2">
      <c r="A18" s="30" t="s">
        <v>36</v>
      </c>
      <c r="B18" s="43">
        <v>84.16</v>
      </c>
      <c r="C18" s="82">
        <v>0.74850000000000005</v>
      </c>
      <c r="D18" s="44">
        <v>1</v>
      </c>
      <c r="E18" s="45">
        <f t="shared" si="0"/>
        <v>0.36237774524158134</v>
      </c>
      <c r="F18" s="26">
        <v>71.8</v>
      </c>
      <c r="G18" s="26">
        <v>99.2</v>
      </c>
      <c r="H18" s="106">
        <v>11047700</v>
      </c>
      <c r="I18" s="27">
        <v>46053</v>
      </c>
      <c r="J18" s="43"/>
      <c r="K18" s="92" t="s">
        <v>37</v>
      </c>
      <c r="L18" s="2"/>
      <c r="M18" s="6"/>
      <c r="N18" s="4"/>
    </row>
    <row r="19" spans="1:14" x14ac:dyDescent="0.2">
      <c r="A19" s="30" t="s">
        <v>38</v>
      </c>
      <c r="B19" s="43">
        <v>72.11</v>
      </c>
      <c r="C19" s="80">
        <v>0.88329999999999997</v>
      </c>
      <c r="D19" s="44">
        <v>1</v>
      </c>
      <c r="E19" s="45">
        <f t="shared" si="0"/>
        <v>0.42893289409468033</v>
      </c>
      <c r="F19" s="32">
        <v>65</v>
      </c>
      <c r="G19" s="26">
        <v>99.5</v>
      </c>
      <c r="H19" s="107">
        <v>9128300</v>
      </c>
      <c r="I19" s="29">
        <v>44620</v>
      </c>
      <c r="J19" s="48"/>
      <c r="K19" s="96" t="s">
        <v>39</v>
      </c>
      <c r="L19" s="2"/>
      <c r="M19" s="8"/>
      <c r="N19" s="2"/>
    </row>
    <row r="20" spans="1:14" x14ac:dyDescent="0.2">
      <c r="A20" s="30" t="s">
        <v>40</v>
      </c>
      <c r="B20" s="47">
        <v>87.16</v>
      </c>
      <c r="C20" s="80">
        <v>0.7</v>
      </c>
      <c r="D20" s="44">
        <v>1</v>
      </c>
      <c r="E20" s="45">
        <f t="shared" si="0"/>
        <v>0.33992191312835529</v>
      </c>
      <c r="F20" s="32">
        <v>69.599999999999994</v>
      </c>
      <c r="G20" s="26">
        <v>99.5</v>
      </c>
      <c r="H20" s="107">
        <v>6354600</v>
      </c>
      <c r="I20" s="29">
        <v>44439</v>
      </c>
      <c r="J20" s="48"/>
      <c r="K20" s="96" t="s">
        <v>28</v>
      </c>
      <c r="L20" s="2"/>
      <c r="M20" s="14"/>
      <c r="N20" s="14"/>
    </row>
    <row r="21" spans="1:14" x14ac:dyDescent="0.2">
      <c r="A21" s="30" t="s">
        <v>41</v>
      </c>
      <c r="B21" s="43">
        <v>87.16</v>
      </c>
      <c r="C21" s="80">
        <v>0.72</v>
      </c>
      <c r="D21" s="49">
        <v>1</v>
      </c>
      <c r="E21" s="45">
        <f t="shared" si="0"/>
        <v>0.34963396778916545</v>
      </c>
      <c r="F21" s="32">
        <v>66</v>
      </c>
      <c r="G21" s="26">
        <v>99.5</v>
      </c>
      <c r="H21" s="107">
        <v>6354600</v>
      </c>
      <c r="I21" s="29">
        <v>44439</v>
      </c>
      <c r="J21" s="43"/>
      <c r="K21" s="92" t="s">
        <v>28</v>
      </c>
      <c r="L21" s="2"/>
      <c r="M21" s="12"/>
      <c r="N21" s="1"/>
    </row>
    <row r="22" spans="1:14" x14ac:dyDescent="0.2">
      <c r="A22" s="30" t="s">
        <v>42</v>
      </c>
      <c r="B22" s="43">
        <v>100.2</v>
      </c>
      <c r="C22" s="80">
        <v>0.69299999999999995</v>
      </c>
      <c r="D22" s="49">
        <v>1</v>
      </c>
      <c r="E22" s="45">
        <f t="shared" si="0"/>
        <v>0.334493411420205</v>
      </c>
      <c r="F22" s="32">
        <v>86</v>
      </c>
      <c r="G22" s="26">
        <v>98.9</v>
      </c>
      <c r="H22" s="107">
        <v>3327600</v>
      </c>
      <c r="I22" s="29">
        <v>44520</v>
      </c>
      <c r="J22" s="43"/>
      <c r="K22" s="92" t="s">
        <v>43</v>
      </c>
      <c r="L22" s="2"/>
      <c r="M22" s="6"/>
      <c r="N22" s="2"/>
    </row>
    <row r="23" spans="1:14" x14ac:dyDescent="0.2">
      <c r="A23" s="30" t="s">
        <v>44</v>
      </c>
      <c r="B23" s="43">
        <v>100.2</v>
      </c>
      <c r="C23" s="80">
        <v>0.67900000000000005</v>
      </c>
      <c r="D23" s="49">
        <v>1</v>
      </c>
      <c r="E23" s="45">
        <f t="shared" si="0"/>
        <v>0.32773596876525141</v>
      </c>
      <c r="F23" s="32">
        <v>90</v>
      </c>
      <c r="G23" s="26">
        <v>98.9</v>
      </c>
      <c r="H23" s="107">
        <v>3327600</v>
      </c>
      <c r="I23" s="29">
        <v>44520</v>
      </c>
      <c r="J23" s="43">
        <v>6.98</v>
      </c>
      <c r="K23" s="92" t="s">
        <v>30</v>
      </c>
      <c r="L23" s="2"/>
      <c r="M23" s="6"/>
      <c r="N23" s="2"/>
    </row>
    <row r="24" spans="1:14" x14ac:dyDescent="0.2">
      <c r="A24" s="30" t="s">
        <v>45</v>
      </c>
      <c r="B24" s="43">
        <v>74.12</v>
      </c>
      <c r="C24" s="80">
        <v>0.80979999999999996</v>
      </c>
      <c r="D24" s="44">
        <v>12.7</v>
      </c>
      <c r="E24" s="45">
        <f t="shared" si="0"/>
        <v>5.0192581747193747</v>
      </c>
      <c r="F24" s="32">
        <v>117.7</v>
      </c>
      <c r="G24" s="26">
        <v>100</v>
      </c>
      <c r="H24" s="107" t="s">
        <v>332</v>
      </c>
      <c r="I24" s="29">
        <v>46265</v>
      </c>
      <c r="J24" s="43">
        <v>6.7359999999999998</v>
      </c>
      <c r="K24" s="92" t="s">
        <v>337</v>
      </c>
      <c r="L24" s="2">
        <v>73</v>
      </c>
      <c r="M24" s="6"/>
      <c r="N24" s="2"/>
    </row>
    <row r="25" spans="1:14" x14ac:dyDescent="0.2">
      <c r="A25" s="30" t="s">
        <v>46</v>
      </c>
      <c r="B25" s="68">
        <v>74.12</v>
      </c>
      <c r="C25" s="88">
        <v>0.78580000000000005</v>
      </c>
      <c r="D25" s="50">
        <v>64</v>
      </c>
      <c r="E25" s="45">
        <f>C25*D25*G25/1000</f>
        <v>5.0039743999999997</v>
      </c>
      <c r="F25" s="51">
        <v>82.4</v>
      </c>
      <c r="G25" s="18">
        <v>99.5</v>
      </c>
      <c r="H25" s="104">
        <v>12613000</v>
      </c>
      <c r="I25" s="29">
        <v>46418</v>
      </c>
      <c r="J25" s="43"/>
      <c r="K25" s="92" t="s">
        <v>47</v>
      </c>
      <c r="L25" s="2"/>
      <c r="M25" s="6"/>
      <c r="N25" s="2"/>
    </row>
    <row r="26" spans="1:14" x14ac:dyDescent="0.2">
      <c r="A26" s="30" t="s">
        <v>48</v>
      </c>
      <c r="B26" s="15">
        <v>78.11</v>
      </c>
      <c r="C26" s="88">
        <v>0.87560000000000004</v>
      </c>
      <c r="D26" s="50">
        <v>57.3</v>
      </c>
      <c r="E26" s="45">
        <f>C26*D26*G26/1000</f>
        <v>4.9921020600000006</v>
      </c>
      <c r="F26" s="51">
        <v>80</v>
      </c>
      <c r="G26" s="23">
        <v>99.5</v>
      </c>
      <c r="H26" s="107" t="s">
        <v>354</v>
      </c>
      <c r="I26" s="29">
        <v>46965</v>
      </c>
      <c r="J26" s="43">
        <v>9.7970000000000006</v>
      </c>
      <c r="K26" s="92" t="s">
        <v>345</v>
      </c>
      <c r="L26" s="2"/>
      <c r="M26" s="6"/>
      <c r="N26" s="2"/>
    </row>
    <row r="27" spans="1:14" x14ac:dyDescent="0.2">
      <c r="A27" s="30" t="s">
        <v>49</v>
      </c>
      <c r="B27" s="43">
        <v>100.2</v>
      </c>
      <c r="C27" s="80">
        <v>0.69499999999999995</v>
      </c>
      <c r="D27" s="44">
        <v>1</v>
      </c>
      <c r="E27" s="45">
        <f t="shared" si="0"/>
        <v>0.3354587603709126</v>
      </c>
      <c r="F27" s="32">
        <v>90</v>
      </c>
      <c r="G27" s="26">
        <v>98.9</v>
      </c>
      <c r="H27" s="107">
        <v>10590500</v>
      </c>
      <c r="I27" s="29">
        <v>46265</v>
      </c>
      <c r="J27" s="43">
        <v>7.05</v>
      </c>
      <c r="K27" s="92" t="s">
        <v>50</v>
      </c>
      <c r="L27" s="2"/>
      <c r="M27" s="8"/>
      <c r="N27" s="91"/>
    </row>
    <row r="28" spans="1:14" x14ac:dyDescent="0.2">
      <c r="A28" s="30" t="s">
        <v>51</v>
      </c>
      <c r="B28" s="43">
        <v>100.2</v>
      </c>
      <c r="C28" s="80">
        <v>0.68600000000000005</v>
      </c>
      <c r="D28" s="44">
        <v>1</v>
      </c>
      <c r="E28" s="45">
        <f t="shared" si="0"/>
        <v>0.33312347486578825</v>
      </c>
      <c r="F28" s="32">
        <v>91</v>
      </c>
      <c r="G28" s="26">
        <v>99.5</v>
      </c>
      <c r="H28" s="107">
        <v>10590500</v>
      </c>
      <c r="I28" s="29">
        <v>46265</v>
      </c>
      <c r="J28" s="43">
        <v>7.15</v>
      </c>
      <c r="K28" s="92" t="s">
        <v>52</v>
      </c>
      <c r="L28" s="2"/>
      <c r="M28" s="8"/>
      <c r="N28" s="2"/>
    </row>
    <row r="29" spans="1:14" x14ac:dyDescent="0.2">
      <c r="A29" s="30" t="s">
        <v>53</v>
      </c>
      <c r="B29" s="43">
        <v>86.13</v>
      </c>
      <c r="C29" s="82">
        <v>0.80900000000000005</v>
      </c>
      <c r="D29" s="44">
        <v>1</v>
      </c>
      <c r="E29" s="45">
        <f t="shared" si="0"/>
        <v>0.38969399707174235</v>
      </c>
      <c r="F29" s="26">
        <v>102.2</v>
      </c>
      <c r="G29" s="26">
        <v>98.7</v>
      </c>
      <c r="H29" s="107">
        <v>7035300</v>
      </c>
      <c r="I29" s="29">
        <v>45716</v>
      </c>
      <c r="J29" s="43"/>
      <c r="K29" s="92" t="s">
        <v>54</v>
      </c>
      <c r="L29" s="2"/>
      <c r="M29" s="8"/>
      <c r="N29" s="2"/>
    </row>
    <row r="30" spans="1:14" x14ac:dyDescent="0.2">
      <c r="A30" s="30" t="s">
        <v>55</v>
      </c>
      <c r="B30" s="43">
        <v>98.19</v>
      </c>
      <c r="C30" s="82">
        <v>0.74639999999999995</v>
      </c>
      <c r="D30" s="44">
        <v>1</v>
      </c>
      <c r="E30" s="45">
        <f t="shared" si="0"/>
        <v>0.36245387994143485</v>
      </c>
      <c r="F30" s="26">
        <v>91.5</v>
      </c>
      <c r="G30" s="26">
        <v>99.5</v>
      </c>
      <c r="H30" s="107">
        <v>10590500</v>
      </c>
      <c r="I30" s="29">
        <v>46265</v>
      </c>
      <c r="J30" s="43"/>
      <c r="K30" s="92" t="s">
        <v>56</v>
      </c>
      <c r="L30" s="2"/>
      <c r="M30" s="6"/>
      <c r="N30" s="2"/>
    </row>
    <row r="31" spans="1:14" x14ac:dyDescent="0.2">
      <c r="A31" s="30" t="s">
        <v>57</v>
      </c>
      <c r="B31" s="43">
        <v>100.2</v>
      </c>
      <c r="C31" s="80">
        <v>0.67949999999999999</v>
      </c>
      <c r="D31" s="44">
        <v>1</v>
      </c>
      <c r="E31" s="45">
        <f t="shared" si="0"/>
        <v>0.32996705710102492</v>
      </c>
      <c r="F31" s="32">
        <v>98.5</v>
      </c>
      <c r="G31" s="26">
        <v>99.5</v>
      </c>
      <c r="H31" s="107">
        <v>10676900</v>
      </c>
      <c r="I31" s="29">
        <v>46112</v>
      </c>
      <c r="J31" s="43">
        <v>7.46</v>
      </c>
      <c r="K31" s="92" t="s">
        <v>58</v>
      </c>
      <c r="L31" s="2"/>
      <c r="M31" s="6"/>
      <c r="N31" s="2"/>
    </row>
    <row r="32" spans="1:14" x14ac:dyDescent="0.2">
      <c r="A32" s="30" t="s">
        <v>59</v>
      </c>
      <c r="B32" s="43">
        <v>101.19</v>
      </c>
      <c r="C32" s="80">
        <v>0.72750000000000004</v>
      </c>
      <c r="D32" s="49">
        <v>1</v>
      </c>
      <c r="E32" s="45">
        <f t="shared" si="0"/>
        <v>0.35327598828696927</v>
      </c>
      <c r="F32" s="32">
        <v>89.3</v>
      </c>
      <c r="G32" s="26">
        <v>99.5</v>
      </c>
      <c r="H32" s="107">
        <v>10590500</v>
      </c>
      <c r="I32" s="29">
        <v>46265</v>
      </c>
      <c r="J32" s="43">
        <v>7.87</v>
      </c>
      <c r="K32" s="92" t="s">
        <v>33</v>
      </c>
      <c r="L32" s="2"/>
      <c r="M32" s="6"/>
      <c r="N32" s="2"/>
    </row>
    <row r="33" spans="1:14" x14ac:dyDescent="0.2">
      <c r="A33" s="30" t="s">
        <v>60</v>
      </c>
      <c r="B33" s="47">
        <v>86.13</v>
      </c>
      <c r="C33" s="80">
        <v>0.8095</v>
      </c>
      <c r="D33" s="44">
        <v>1</v>
      </c>
      <c r="E33" s="45">
        <f t="shared" si="0"/>
        <v>0.39032991703269887</v>
      </c>
      <c r="F33" s="32">
        <v>103</v>
      </c>
      <c r="G33" s="32">
        <v>98.8</v>
      </c>
      <c r="H33" s="107">
        <v>7589400</v>
      </c>
      <c r="I33" s="31">
        <v>43951</v>
      </c>
      <c r="J33" s="43"/>
      <c r="K33" s="92" t="s">
        <v>61</v>
      </c>
      <c r="L33" s="2"/>
      <c r="M33" s="6"/>
      <c r="N33" s="2"/>
    </row>
    <row r="34" spans="1:14" x14ac:dyDescent="0.2">
      <c r="A34" s="30" t="s">
        <v>62</v>
      </c>
      <c r="B34" s="43">
        <v>88.11</v>
      </c>
      <c r="C34" s="80">
        <v>1.0337000000000001</v>
      </c>
      <c r="D34" s="44">
        <v>1</v>
      </c>
      <c r="E34" s="45">
        <f t="shared" si="0"/>
        <v>0.50196754514397279</v>
      </c>
      <c r="F34" s="32">
        <v>101.5</v>
      </c>
      <c r="G34" s="26">
        <v>99.5</v>
      </c>
      <c r="H34" s="107">
        <v>7620400</v>
      </c>
      <c r="I34" s="29">
        <v>44408</v>
      </c>
      <c r="J34" s="43"/>
      <c r="K34" s="92" t="s">
        <v>63</v>
      </c>
      <c r="L34" s="2"/>
      <c r="M34" s="6"/>
      <c r="N34" s="2"/>
    </row>
    <row r="35" spans="1:14" x14ac:dyDescent="0.2">
      <c r="A35" s="30" t="s">
        <v>64</v>
      </c>
      <c r="B35" s="43">
        <v>100.12</v>
      </c>
      <c r="C35" s="82">
        <v>0.94499999999999995</v>
      </c>
      <c r="D35" s="44">
        <v>53.2</v>
      </c>
      <c r="E35" s="58">
        <f>C35*D35*G35/1000</f>
        <v>5.0022630000000001</v>
      </c>
      <c r="F35" s="26">
        <v>100.5</v>
      </c>
      <c r="G35" s="26">
        <v>99.5</v>
      </c>
      <c r="H35" s="107" t="s">
        <v>354</v>
      </c>
      <c r="I35" s="29">
        <v>46784</v>
      </c>
      <c r="J35" s="43">
        <v>11.18</v>
      </c>
      <c r="K35" s="92" t="s">
        <v>65</v>
      </c>
      <c r="L35" s="2"/>
      <c r="M35" s="6"/>
      <c r="N35" s="2"/>
    </row>
    <row r="36" spans="1:14" x14ac:dyDescent="0.2">
      <c r="A36" s="30" t="s">
        <v>66</v>
      </c>
      <c r="B36" s="47">
        <v>102.13</v>
      </c>
      <c r="C36" s="30">
        <v>0.88800000000000001</v>
      </c>
      <c r="D36" s="44">
        <v>1</v>
      </c>
      <c r="E36" s="45">
        <f t="shared" si="0"/>
        <v>0.43121522693997072</v>
      </c>
      <c r="F36" s="32">
        <v>102</v>
      </c>
      <c r="G36" s="26">
        <v>99.5</v>
      </c>
      <c r="H36" s="106">
        <v>6354600</v>
      </c>
      <c r="I36" s="27">
        <v>44064</v>
      </c>
      <c r="J36" s="47"/>
      <c r="K36" s="92" t="s">
        <v>67</v>
      </c>
      <c r="L36" s="2"/>
      <c r="M36" s="6"/>
      <c r="N36" s="2"/>
    </row>
    <row r="37" spans="1:14" x14ac:dyDescent="0.2">
      <c r="A37" s="30" t="s">
        <v>68</v>
      </c>
      <c r="B37" s="47">
        <v>100.16</v>
      </c>
      <c r="C37" s="80">
        <v>0.79700000000000004</v>
      </c>
      <c r="D37" s="44">
        <v>100</v>
      </c>
      <c r="E37" s="45">
        <f>C37*D37*G37/1000</f>
        <v>7.97</v>
      </c>
      <c r="F37" s="32">
        <v>116.5</v>
      </c>
      <c r="G37" s="26">
        <v>100</v>
      </c>
      <c r="H37" s="107" t="s">
        <v>331</v>
      </c>
      <c r="I37" s="29">
        <v>46904</v>
      </c>
      <c r="J37" s="43">
        <v>12.347</v>
      </c>
      <c r="K37" s="92" t="s">
        <v>84</v>
      </c>
      <c r="L37" s="2"/>
      <c r="M37" s="8"/>
      <c r="N37" s="2"/>
    </row>
    <row r="38" spans="1:14" x14ac:dyDescent="0.2">
      <c r="A38" s="30" t="s">
        <v>69</v>
      </c>
      <c r="B38" s="47">
        <v>73.09</v>
      </c>
      <c r="C38" s="80">
        <v>0.9113</v>
      </c>
      <c r="D38" s="44" t="s">
        <v>70</v>
      </c>
      <c r="E38" s="45"/>
      <c r="F38" s="32">
        <v>136</v>
      </c>
      <c r="G38" s="26">
        <v>99.5</v>
      </c>
      <c r="H38" s="107">
        <v>12469400</v>
      </c>
      <c r="I38" s="29">
        <v>46326</v>
      </c>
      <c r="J38" s="43" t="s">
        <v>71</v>
      </c>
      <c r="K38" s="92" t="s">
        <v>72</v>
      </c>
      <c r="L38" s="2"/>
      <c r="M38" s="8"/>
      <c r="N38" s="2"/>
    </row>
    <row r="39" spans="1:14" x14ac:dyDescent="0.2">
      <c r="A39" s="30" t="s">
        <v>73</v>
      </c>
      <c r="B39" s="47">
        <v>98.19</v>
      </c>
      <c r="C39" s="80">
        <v>0.76939999999999997</v>
      </c>
      <c r="D39" s="44">
        <v>1</v>
      </c>
      <c r="E39" s="45">
        <f t="shared" si="0"/>
        <v>0.37362274280136648</v>
      </c>
      <c r="F39" s="32">
        <v>100.9</v>
      </c>
      <c r="G39" s="26">
        <v>99.5</v>
      </c>
      <c r="H39" s="107">
        <v>9011700</v>
      </c>
      <c r="I39" s="29">
        <v>45565</v>
      </c>
      <c r="J39" s="47">
        <v>8.19</v>
      </c>
      <c r="K39" s="92" t="s">
        <v>74</v>
      </c>
      <c r="L39" s="2"/>
      <c r="M39" s="8"/>
      <c r="N39" s="2"/>
    </row>
    <row r="40" spans="1:14" x14ac:dyDescent="0.2">
      <c r="A40" s="30" t="s">
        <v>75</v>
      </c>
      <c r="B40" s="43">
        <v>98.19</v>
      </c>
      <c r="C40" s="80">
        <v>0.76300000000000001</v>
      </c>
      <c r="D40" s="44">
        <v>1</v>
      </c>
      <c r="E40" s="45">
        <f t="shared" si="0"/>
        <v>0.37051488530990734</v>
      </c>
      <c r="F40" s="32">
        <v>103</v>
      </c>
      <c r="G40" s="26">
        <v>99.5</v>
      </c>
      <c r="H40" s="106">
        <v>6354600</v>
      </c>
      <c r="I40" s="27">
        <v>44064</v>
      </c>
      <c r="J40" s="43">
        <v>8.3699999999999992</v>
      </c>
      <c r="K40" s="92" t="s">
        <v>76</v>
      </c>
      <c r="L40" s="2"/>
      <c r="M40" s="8"/>
      <c r="N40" s="2"/>
    </row>
    <row r="41" spans="1:14" x14ac:dyDescent="0.2">
      <c r="A41" s="30" t="s">
        <v>77</v>
      </c>
      <c r="B41" s="43">
        <v>79.099999999999994</v>
      </c>
      <c r="C41" s="80">
        <v>0.98199999999999998</v>
      </c>
      <c r="D41" s="49">
        <v>1</v>
      </c>
      <c r="E41" s="45">
        <f t="shared" si="0"/>
        <v>0.47686188384577849</v>
      </c>
      <c r="F41" s="32">
        <v>239</v>
      </c>
      <c r="G41" s="26">
        <v>99.5</v>
      </c>
      <c r="H41" s="107">
        <v>10590500</v>
      </c>
      <c r="I41" s="29">
        <v>46265</v>
      </c>
      <c r="J41" s="47"/>
      <c r="K41" s="92" t="s">
        <v>78</v>
      </c>
      <c r="L41" s="2"/>
      <c r="M41" s="8"/>
      <c r="N41" s="2"/>
    </row>
    <row r="42" spans="1:14" x14ac:dyDescent="0.2">
      <c r="A42" s="30" t="s">
        <v>79</v>
      </c>
      <c r="B42" s="47">
        <v>76.09</v>
      </c>
      <c r="C42" s="80">
        <v>1.04</v>
      </c>
      <c r="D42" s="44">
        <v>1</v>
      </c>
      <c r="E42" s="45">
        <f t="shared" si="0"/>
        <v>0.50502684236212791</v>
      </c>
      <c r="F42" s="32">
        <v>188.2</v>
      </c>
      <c r="G42" s="26">
        <v>99.5</v>
      </c>
      <c r="H42" s="107">
        <v>10590500</v>
      </c>
      <c r="I42" s="29">
        <v>46265</v>
      </c>
      <c r="J42" s="43"/>
      <c r="K42" s="92" t="s">
        <v>80</v>
      </c>
      <c r="L42" s="2"/>
      <c r="M42" s="8"/>
      <c r="N42" s="2"/>
    </row>
    <row r="43" spans="1:14" x14ac:dyDescent="0.2">
      <c r="A43" s="30" t="s">
        <v>81</v>
      </c>
      <c r="B43" s="43">
        <v>92.14</v>
      </c>
      <c r="C43" s="80">
        <v>0.86229999999999996</v>
      </c>
      <c r="D43" s="44">
        <v>58.3</v>
      </c>
      <c r="E43" s="45">
        <f>C43*D43*G43/1000</f>
        <v>5.0020729549999992</v>
      </c>
      <c r="F43" s="32">
        <v>110.6</v>
      </c>
      <c r="G43" s="26">
        <v>99.5</v>
      </c>
      <c r="H43" s="107" t="s">
        <v>354</v>
      </c>
      <c r="I43" s="29">
        <v>46784</v>
      </c>
      <c r="J43" s="43">
        <v>12.946</v>
      </c>
      <c r="K43" s="92" t="s">
        <v>82</v>
      </c>
      <c r="L43" s="2"/>
      <c r="M43" s="8"/>
      <c r="N43" s="2"/>
    </row>
    <row r="44" spans="1:14" x14ac:dyDescent="0.2">
      <c r="A44" s="30" t="s">
        <v>83</v>
      </c>
      <c r="B44" s="43">
        <v>100.16</v>
      </c>
      <c r="C44" s="82">
        <v>0.83</v>
      </c>
      <c r="D44" s="44">
        <v>1</v>
      </c>
      <c r="E44" s="45">
        <f t="shared" si="0"/>
        <v>0.40305026842362129</v>
      </c>
      <c r="F44" s="26">
        <v>127.2</v>
      </c>
      <c r="G44" s="26">
        <v>99.5</v>
      </c>
      <c r="H44" s="107">
        <v>10590500</v>
      </c>
      <c r="I44" s="29">
        <v>46265</v>
      </c>
      <c r="J44" s="43">
        <v>9.0299999999999994</v>
      </c>
      <c r="K44" s="92" t="s">
        <v>84</v>
      </c>
      <c r="L44" s="2"/>
      <c r="M44" s="8"/>
      <c r="N44" s="2"/>
    </row>
    <row r="45" spans="1:14" x14ac:dyDescent="0.2">
      <c r="A45" s="30" t="s">
        <v>85</v>
      </c>
      <c r="B45" s="43">
        <v>104.12</v>
      </c>
      <c r="C45" s="82">
        <v>1</v>
      </c>
      <c r="D45" s="44"/>
      <c r="E45" s="45"/>
      <c r="F45" s="26"/>
      <c r="G45" s="26"/>
      <c r="H45" s="107"/>
      <c r="I45" s="29"/>
      <c r="J45" s="43">
        <v>9.23</v>
      </c>
      <c r="K45" s="92" t="s">
        <v>86</v>
      </c>
      <c r="L45" s="2"/>
      <c r="M45" s="8"/>
      <c r="N45" s="2"/>
    </row>
    <row r="46" spans="1:14" x14ac:dyDescent="0.2">
      <c r="A46" s="30" t="s">
        <v>87</v>
      </c>
      <c r="B46" s="47">
        <v>114.23</v>
      </c>
      <c r="C46" s="80">
        <v>0.6986</v>
      </c>
      <c r="D46" s="44">
        <v>2</v>
      </c>
      <c r="E46" s="45">
        <f t="shared" si="0"/>
        <v>0.6784841386041971</v>
      </c>
      <c r="F46" s="32">
        <v>125.6</v>
      </c>
      <c r="G46" s="32">
        <v>99.5</v>
      </c>
      <c r="H46" s="107">
        <v>8424500</v>
      </c>
      <c r="I46" s="29">
        <v>45626</v>
      </c>
      <c r="J46" s="43">
        <v>9.7100000000000009</v>
      </c>
      <c r="K46" s="92" t="s">
        <v>88</v>
      </c>
      <c r="L46" s="2"/>
      <c r="M46" s="8"/>
      <c r="N46" s="2"/>
    </row>
    <row r="47" spans="1:14" x14ac:dyDescent="0.2">
      <c r="A47" s="30" t="s">
        <v>89</v>
      </c>
      <c r="B47" s="47">
        <v>100.6</v>
      </c>
      <c r="C47" s="80">
        <v>0.82399999999999995</v>
      </c>
      <c r="D47" s="44">
        <v>100</v>
      </c>
      <c r="E47" s="45">
        <f>C47*D47*G47/1000</f>
        <v>8.0751999999999988</v>
      </c>
      <c r="F47" s="32">
        <v>131</v>
      </c>
      <c r="G47" s="33">
        <v>98</v>
      </c>
      <c r="H47" s="107" t="s">
        <v>322</v>
      </c>
      <c r="I47"/>
      <c r="J47" s="43">
        <v>13.55</v>
      </c>
      <c r="K47" s="92" t="s">
        <v>92</v>
      </c>
      <c r="L47" s="2"/>
      <c r="M47" s="8"/>
      <c r="N47" s="2"/>
    </row>
    <row r="48" spans="1:14" x14ac:dyDescent="0.2">
      <c r="A48" s="30" t="s">
        <v>93</v>
      </c>
      <c r="B48" s="43">
        <v>165.8</v>
      </c>
      <c r="C48" s="80">
        <v>1.623</v>
      </c>
      <c r="D48" s="44">
        <v>1</v>
      </c>
      <c r="E48" s="45">
        <f t="shared" si="0"/>
        <v>0.78813323572474392</v>
      </c>
      <c r="F48" s="32">
        <v>121.3</v>
      </c>
      <c r="G48" s="26">
        <v>99.5</v>
      </c>
      <c r="H48" s="107">
        <v>6141100</v>
      </c>
      <c r="I48" s="29">
        <v>44560</v>
      </c>
      <c r="J48" s="43">
        <v>9.93</v>
      </c>
      <c r="K48" s="92">
        <v>168166.13</v>
      </c>
      <c r="L48" s="2"/>
      <c r="M48" s="8"/>
      <c r="N48" s="2"/>
    </row>
    <row r="49" spans="1:14" x14ac:dyDescent="0.2">
      <c r="A49" s="30" t="s">
        <v>94</v>
      </c>
      <c r="B49" s="43">
        <v>96.09</v>
      </c>
      <c r="C49" s="80">
        <v>1.1594</v>
      </c>
      <c r="D49" s="44">
        <v>1</v>
      </c>
      <c r="E49" s="45">
        <f t="shared" si="0"/>
        <v>0.56300780868716449</v>
      </c>
      <c r="F49" s="32">
        <v>161.69999999999999</v>
      </c>
      <c r="G49" s="26">
        <v>99.5</v>
      </c>
      <c r="H49" s="106">
        <v>8233500</v>
      </c>
      <c r="I49" s="27">
        <v>44439</v>
      </c>
      <c r="J49" s="43"/>
      <c r="K49" s="92" t="s">
        <v>95</v>
      </c>
      <c r="L49" s="2"/>
      <c r="M49" s="8"/>
      <c r="N49" s="2"/>
    </row>
    <row r="50" spans="1:14" x14ac:dyDescent="0.2">
      <c r="A50" s="30" t="s">
        <v>96</v>
      </c>
      <c r="B50" s="43">
        <v>112.55</v>
      </c>
      <c r="C50" s="80">
        <v>0.498</v>
      </c>
      <c r="D50" s="44">
        <v>100</v>
      </c>
      <c r="E50" s="58">
        <f>C50*D50*G50/1000</f>
        <v>4.9550999999999998</v>
      </c>
      <c r="F50" s="32">
        <v>131.69999999999999</v>
      </c>
      <c r="G50" s="26">
        <v>99.5</v>
      </c>
      <c r="H50" s="107" t="s">
        <v>354</v>
      </c>
      <c r="I50" s="29">
        <v>46784</v>
      </c>
      <c r="J50" s="43">
        <v>15.03</v>
      </c>
      <c r="K50" s="92" t="s">
        <v>97</v>
      </c>
      <c r="L50" s="2"/>
      <c r="M50" s="8"/>
      <c r="N50" s="2"/>
    </row>
    <row r="51" spans="1:14" x14ac:dyDescent="0.2">
      <c r="A51" s="30" t="s">
        <v>98</v>
      </c>
      <c r="B51" s="43">
        <v>120.62</v>
      </c>
      <c r="C51" s="80">
        <v>0.90290000000000004</v>
      </c>
      <c r="D51" s="44">
        <v>1</v>
      </c>
      <c r="E51" s="45">
        <f t="shared" si="0"/>
        <v>0.43845070766227429</v>
      </c>
      <c r="F51" s="32">
        <v>135</v>
      </c>
      <c r="G51" s="26">
        <v>99.5</v>
      </c>
      <c r="H51" s="107">
        <v>10590500</v>
      </c>
      <c r="I51" s="27">
        <v>46265</v>
      </c>
      <c r="J51" s="47"/>
      <c r="K51" s="92" t="s">
        <v>99</v>
      </c>
      <c r="L51" s="2"/>
      <c r="M51" s="8"/>
      <c r="N51" s="2"/>
    </row>
    <row r="52" spans="1:14" x14ac:dyDescent="0.2">
      <c r="A52" s="30" t="s">
        <v>100</v>
      </c>
      <c r="B52" s="47">
        <v>180.55</v>
      </c>
      <c r="C52" s="80">
        <v>1.3340000000000001</v>
      </c>
      <c r="D52" s="44">
        <v>1</v>
      </c>
      <c r="E52" s="45">
        <f t="shared" si="0"/>
        <v>0.64779404587603717</v>
      </c>
      <c r="F52" s="32">
        <v>138.5</v>
      </c>
      <c r="G52" s="26">
        <v>99.5</v>
      </c>
      <c r="H52" s="107">
        <v>10590500</v>
      </c>
      <c r="I52" s="29">
        <v>46265</v>
      </c>
      <c r="J52" s="43">
        <v>10.64</v>
      </c>
      <c r="K52" s="92" t="s">
        <v>101</v>
      </c>
      <c r="L52" s="2"/>
      <c r="M52" s="8"/>
      <c r="N52" s="2"/>
    </row>
    <row r="53" spans="1:14" x14ac:dyDescent="0.2">
      <c r="A53" s="30" t="s">
        <v>102</v>
      </c>
      <c r="B53" s="47">
        <v>102.13</v>
      </c>
      <c r="C53" s="80">
        <v>0.93</v>
      </c>
      <c r="D53" s="44"/>
      <c r="E53" s="45"/>
      <c r="F53" s="32">
        <v>186</v>
      </c>
      <c r="G53" s="26"/>
      <c r="H53" s="107"/>
      <c r="I53" s="29"/>
      <c r="J53" s="43">
        <v>10.96</v>
      </c>
      <c r="K53" s="92" t="s">
        <v>103</v>
      </c>
      <c r="L53" s="2"/>
      <c r="M53" s="101"/>
      <c r="N53" s="2"/>
    </row>
    <row r="54" spans="1:14" s="22" customFormat="1" ht="17" thickBot="1" x14ac:dyDescent="0.25">
      <c r="A54" s="30" t="s">
        <v>104</v>
      </c>
      <c r="B54" s="47">
        <v>106.16</v>
      </c>
      <c r="C54" s="80">
        <v>0.86260000000000003</v>
      </c>
      <c r="D54" s="44">
        <v>58</v>
      </c>
      <c r="E54" s="45">
        <f>C54*D54*G54/1000</f>
        <v>4.9780645999999997</v>
      </c>
      <c r="F54" s="32">
        <v>136.19999999999999</v>
      </c>
      <c r="G54" s="32">
        <v>99.5</v>
      </c>
      <c r="H54" s="107" t="s">
        <v>354</v>
      </c>
      <c r="I54" s="31">
        <v>46784</v>
      </c>
      <c r="J54" s="43">
        <v>15.477</v>
      </c>
      <c r="K54" s="92" t="s">
        <v>105</v>
      </c>
      <c r="L54" s="21"/>
      <c r="M54" s="89"/>
      <c r="N54" s="21"/>
    </row>
    <row r="55" spans="1:14" x14ac:dyDescent="0.2">
      <c r="A55" s="30" t="s">
        <v>106</v>
      </c>
      <c r="B55" s="47">
        <v>151.16</v>
      </c>
      <c r="C55" s="80">
        <v>1</v>
      </c>
      <c r="D55" s="44"/>
      <c r="E55" s="45"/>
      <c r="F55" s="32"/>
      <c r="G55" s="32"/>
      <c r="H55" s="107"/>
      <c r="I55" s="31"/>
      <c r="J55" s="43">
        <v>11.18</v>
      </c>
      <c r="K55" s="92" t="s">
        <v>107</v>
      </c>
      <c r="L55" s="2"/>
      <c r="M55" s="102"/>
      <c r="N55" s="2"/>
    </row>
    <row r="56" spans="1:14" x14ac:dyDescent="0.2">
      <c r="A56" s="30" t="s">
        <v>108</v>
      </c>
      <c r="B56" s="47">
        <v>151.16</v>
      </c>
      <c r="C56" s="80">
        <v>1</v>
      </c>
      <c r="D56" s="44"/>
      <c r="E56" s="45"/>
      <c r="F56" s="32"/>
      <c r="G56" s="32"/>
      <c r="H56" s="107"/>
      <c r="I56" s="31"/>
      <c r="J56" s="43">
        <v>11.25</v>
      </c>
      <c r="K56" s="92" t="s">
        <v>107</v>
      </c>
      <c r="L56" s="2"/>
      <c r="M56" s="102"/>
      <c r="N56" s="2"/>
    </row>
    <row r="57" spans="1:14" x14ac:dyDescent="0.2">
      <c r="A57" s="30" t="s">
        <v>109</v>
      </c>
      <c r="B57" s="47">
        <v>87.12</v>
      </c>
      <c r="C57" s="30">
        <v>0.93700000000000006</v>
      </c>
      <c r="D57" s="44">
        <v>1</v>
      </c>
      <c r="E57" s="45">
        <f t="shared" si="0"/>
        <v>0.45500976085895567</v>
      </c>
      <c r="F57" s="32">
        <v>164.5</v>
      </c>
      <c r="G57" s="26">
        <v>99.5</v>
      </c>
      <c r="H57" s="107">
        <v>10590500</v>
      </c>
      <c r="I57" s="29">
        <v>46265</v>
      </c>
      <c r="J57" s="43"/>
      <c r="K57" s="92" t="s">
        <v>28</v>
      </c>
      <c r="L57" s="2"/>
      <c r="M57" s="90"/>
      <c r="N57" s="2"/>
    </row>
    <row r="58" spans="1:14" x14ac:dyDescent="0.2">
      <c r="A58" s="30" t="s">
        <v>110</v>
      </c>
      <c r="B58" s="43">
        <v>106.16</v>
      </c>
      <c r="C58" s="80">
        <v>0.86699999999999999</v>
      </c>
      <c r="D58" s="44">
        <v>58</v>
      </c>
      <c r="E58" s="45">
        <f>C58*D58*G58/1000</f>
        <v>5.003457</v>
      </c>
      <c r="F58" s="32">
        <v>138.30000000000001</v>
      </c>
      <c r="G58" s="26">
        <v>99.5</v>
      </c>
      <c r="H58" s="107" t="s">
        <v>354</v>
      </c>
      <c r="I58" s="29">
        <v>46784</v>
      </c>
      <c r="J58" s="47">
        <v>15.648999999999999</v>
      </c>
      <c r="K58" s="92" t="s">
        <v>111</v>
      </c>
      <c r="L58" s="2"/>
      <c r="M58" s="8"/>
      <c r="N58" s="2"/>
    </row>
    <row r="59" spans="1:14" x14ac:dyDescent="0.2">
      <c r="A59" s="30" t="s">
        <v>112</v>
      </c>
      <c r="B59" s="43">
        <v>151.16</v>
      </c>
      <c r="C59" s="80">
        <v>0.84750000000000003</v>
      </c>
      <c r="D59" s="44">
        <v>1.5</v>
      </c>
      <c r="E59" s="45">
        <f t="shared" si="0"/>
        <v>0.61732247437774523</v>
      </c>
      <c r="F59" s="32">
        <v>140.5</v>
      </c>
      <c r="G59" s="26">
        <v>99.5</v>
      </c>
      <c r="H59" s="106">
        <v>6354600</v>
      </c>
      <c r="I59" s="27">
        <v>44064</v>
      </c>
      <c r="J59" s="47">
        <v>11.4</v>
      </c>
      <c r="K59" s="92" t="s">
        <v>113</v>
      </c>
      <c r="L59" s="2"/>
      <c r="M59" s="8"/>
      <c r="N59" s="2"/>
    </row>
    <row r="60" spans="1:14" x14ac:dyDescent="0.2">
      <c r="A60" s="30" t="s">
        <v>114</v>
      </c>
      <c r="B60" s="43">
        <v>114.19</v>
      </c>
      <c r="C60" s="80">
        <v>0.81799999999999995</v>
      </c>
      <c r="D60" s="44">
        <v>2</v>
      </c>
      <c r="E60" s="45">
        <f t="shared" si="0"/>
        <v>0.79444607125427036</v>
      </c>
      <c r="F60" s="32">
        <v>147</v>
      </c>
      <c r="G60" s="26">
        <v>99.5</v>
      </c>
      <c r="H60" s="107">
        <v>4224000</v>
      </c>
      <c r="I60" s="27">
        <v>44074</v>
      </c>
      <c r="J60" s="43"/>
      <c r="K60" s="92" t="s">
        <v>115</v>
      </c>
      <c r="L60" s="2"/>
      <c r="M60" s="8"/>
      <c r="N60" s="2"/>
    </row>
    <row r="61" spans="1:14" x14ac:dyDescent="0.2">
      <c r="A61" s="30" t="s">
        <v>116</v>
      </c>
      <c r="B61" s="47">
        <v>104.15</v>
      </c>
      <c r="C61" s="80">
        <v>0.90159999999999996</v>
      </c>
      <c r="D61" s="44">
        <v>55.7</v>
      </c>
      <c r="E61" s="45">
        <f>C61*D61*G61/1000</f>
        <v>4.9968024399999997</v>
      </c>
      <c r="F61" s="32">
        <v>145.30000000000001</v>
      </c>
      <c r="G61" s="26">
        <v>99.5</v>
      </c>
      <c r="H61" s="107" t="s">
        <v>354</v>
      </c>
      <c r="I61" s="27">
        <v>46784</v>
      </c>
      <c r="J61" s="43">
        <v>16.210999999999999</v>
      </c>
      <c r="K61" s="92" t="s">
        <v>338</v>
      </c>
      <c r="L61" s="2"/>
      <c r="M61" s="8"/>
      <c r="N61" s="2"/>
    </row>
    <row r="62" spans="1:14" x14ac:dyDescent="0.2">
      <c r="A62" s="30" t="s">
        <v>117</v>
      </c>
      <c r="B62" s="47">
        <v>126.24</v>
      </c>
      <c r="C62" s="80">
        <v>0.73</v>
      </c>
      <c r="D62" s="44"/>
      <c r="E62" s="45"/>
      <c r="F62" s="32">
        <v>147</v>
      </c>
      <c r="G62" s="26"/>
      <c r="H62" s="106"/>
      <c r="I62" s="27"/>
      <c r="J62" s="43">
        <v>11.64</v>
      </c>
      <c r="K62" s="92" t="s">
        <v>118</v>
      </c>
      <c r="L62" s="2"/>
      <c r="M62" s="8"/>
      <c r="N62" s="2"/>
    </row>
    <row r="63" spans="1:14" x14ac:dyDescent="0.2">
      <c r="A63" s="30" t="s">
        <v>119</v>
      </c>
      <c r="B63" s="43">
        <v>114.19</v>
      </c>
      <c r="C63" s="82">
        <v>0.83240000000000003</v>
      </c>
      <c r="D63" s="44">
        <v>2</v>
      </c>
      <c r="E63" s="45">
        <f t="shared" si="0"/>
        <v>0.80843142996583695</v>
      </c>
      <c r="F63" s="26">
        <v>151.5</v>
      </c>
      <c r="G63" s="26">
        <v>99.5</v>
      </c>
      <c r="H63" s="107">
        <v>4995700</v>
      </c>
      <c r="I63" s="29">
        <v>44074</v>
      </c>
      <c r="J63" s="43"/>
      <c r="K63" s="92" t="s">
        <v>120</v>
      </c>
      <c r="L63" s="2"/>
      <c r="M63" s="8"/>
      <c r="N63" s="2"/>
    </row>
    <row r="64" spans="1:14" x14ac:dyDescent="0.2">
      <c r="A64" s="30" t="s">
        <v>121</v>
      </c>
      <c r="B64" s="47">
        <v>106.16</v>
      </c>
      <c r="C64" s="80">
        <v>0.88019999999999998</v>
      </c>
      <c r="D64" s="44">
        <v>11.7</v>
      </c>
      <c r="E64" s="45">
        <f t="shared" si="0"/>
        <v>4.9958760175695458</v>
      </c>
      <c r="F64" s="32">
        <v>144.5</v>
      </c>
      <c r="G64" s="32">
        <v>99.4</v>
      </c>
      <c r="H64" s="107" t="s">
        <v>354</v>
      </c>
      <c r="I64" s="27">
        <v>46784</v>
      </c>
      <c r="J64" s="43">
        <v>15.734999999999999</v>
      </c>
      <c r="K64" s="92" t="s">
        <v>111</v>
      </c>
      <c r="L64" s="2"/>
      <c r="M64" s="8"/>
      <c r="N64" s="2"/>
    </row>
    <row r="65" spans="1:14" x14ac:dyDescent="0.2">
      <c r="A65" s="30" t="s">
        <v>122</v>
      </c>
      <c r="B65" s="43">
        <v>114.19</v>
      </c>
      <c r="C65" s="82">
        <v>0.84950000000000003</v>
      </c>
      <c r="D65" s="44">
        <v>2</v>
      </c>
      <c r="E65" s="45">
        <f t="shared" si="0"/>
        <v>0.82503904343582235</v>
      </c>
      <c r="F65" s="26">
        <v>152.80000000000001</v>
      </c>
      <c r="G65" s="26">
        <v>99.5</v>
      </c>
      <c r="H65" s="107">
        <v>4380000</v>
      </c>
      <c r="I65" s="29">
        <v>43951</v>
      </c>
      <c r="J65" s="43">
        <v>11.55</v>
      </c>
      <c r="K65" s="92" t="s">
        <v>123</v>
      </c>
      <c r="L65" s="2"/>
      <c r="M65" s="8"/>
      <c r="N65" s="2"/>
    </row>
    <row r="66" spans="1:14" x14ac:dyDescent="0.2">
      <c r="A66" s="30" t="s">
        <v>124</v>
      </c>
      <c r="B66" s="43">
        <v>117.19</v>
      </c>
      <c r="C66" s="82">
        <v>0.8921</v>
      </c>
      <c r="D66" s="44">
        <v>1</v>
      </c>
      <c r="E66" s="45">
        <f t="shared" si="0"/>
        <v>0.43320619814543682</v>
      </c>
      <c r="F66" s="26">
        <v>163</v>
      </c>
      <c r="G66" s="26">
        <v>99.5</v>
      </c>
      <c r="H66" s="107">
        <v>10590500</v>
      </c>
      <c r="I66" s="29">
        <v>46265</v>
      </c>
      <c r="J66" s="52">
        <v>11.96</v>
      </c>
      <c r="K66" s="97" t="s">
        <v>125</v>
      </c>
      <c r="L66" s="2"/>
      <c r="M66" s="8"/>
      <c r="N66" s="2"/>
    </row>
    <row r="67" spans="1:14" x14ac:dyDescent="0.2">
      <c r="A67" s="30" t="s">
        <v>126</v>
      </c>
      <c r="B67" s="43">
        <v>117.19</v>
      </c>
      <c r="C67" s="82">
        <v>0.89200000000000002</v>
      </c>
      <c r="D67" s="44">
        <v>100</v>
      </c>
      <c r="E67" s="45">
        <f t="shared" ref="E67" si="1">C67*D67*G67/1000</f>
        <v>8.8753999999999991</v>
      </c>
      <c r="F67" s="26">
        <v>163</v>
      </c>
      <c r="G67" s="26">
        <v>99.5</v>
      </c>
      <c r="H67" s="107">
        <v>12450200</v>
      </c>
      <c r="I67" s="29">
        <v>45046</v>
      </c>
      <c r="J67" s="52">
        <v>11.85</v>
      </c>
      <c r="K67" s="97" t="s">
        <v>125</v>
      </c>
      <c r="L67" s="2"/>
      <c r="M67" s="8"/>
      <c r="N67" s="2"/>
    </row>
    <row r="68" spans="1:14" x14ac:dyDescent="0.2">
      <c r="A68" s="30" t="s">
        <v>127</v>
      </c>
      <c r="B68" s="47">
        <v>73.09</v>
      </c>
      <c r="C68" s="80">
        <v>0.94399999999999995</v>
      </c>
      <c r="D68" s="44">
        <v>1</v>
      </c>
      <c r="E68" s="45">
        <f t="shared" si="0"/>
        <v>0.45840897999023916</v>
      </c>
      <c r="F68" s="32">
        <v>153</v>
      </c>
      <c r="G68" s="33">
        <v>99.5</v>
      </c>
      <c r="H68" s="108">
        <v>6354600</v>
      </c>
      <c r="I68" s="34">
        <v>44439</v>
      </c>
      <c r="J68" s="43">
        <v>12.11</v>
      </c>
      <c r="K68" s="92" t="s">
        <v>52</v>
      </c>
      <c r="L68" s="2"/>
      <c r="M68" s="8"/>
      <c r="N68" s="2"/>
    </row>
    <row r="69" spans="1:14" ht="17" thickBot="1" x14ac:dyDescent="0.25">
      <c r="A69" s="53" t="s">
        <v>128</v>
      </c>
      <c r="B69" s="54">
        <v>118.17</v>
      </c>
      <c r="C69" s="86">
        <v>0.90149999999999997</v>
      </c>
      <c r="D69" s="76">
        <v>2</v>
      </c>
      <c r="E69" s="77">
        <f t="shared" si="0"/>
        <v>0.87290190336749651</v>
      </c>
      <c r="F69" s="55">
        <v>168.4</v>
      </c>
      <c r="G69" s="41">
        <v>99.2</v>
      </c>
      <c r="H69" s="109">
        <v>10537300</v>
      </c>
      <c r="I69" s="42">
        <v>45565</v>
      </c>
      <c r="J69" s="54"/>
      <c r="K69" s="98" t="s">
        <v>129</v>
      </c>
      <c r="L69" s="2"/>
      <c r="M69" s="6"/>
      <c r="N69" s="2"/>
    </row>
    <row r="70" spans="1:14" ht="17" thickTop="1" x14ac:dyDescent="0.2">
      <c r="A70" s="36" t="s">
        <v>130</v>
      </c>
      <c r="B70" s="56">
        <v>98.15</v>
      </c>
      <c r="C70" s="87">
        <v>0.94699999999999995</v>
      </c>
      <c r="D70" s="57">
        <v>100</v>
      </c>
      <c r="E70" s="58">
        <f>C70*D70*G70/1000</f>
        <v>9.4226499999999991</v>
      </c>
      <c r="F70" s="59">
        <v>155.4</v>
      </c>
      <c r="G70" s="35">
        <v>99.5</v>
      </c>
      <c r="H70" s="110">
        <v>9020400</v>
      </c>
      <c r="I70" s="37">
        <v>45077</v>
      </c>
      <c r="J70" s="56"/>
      <c r="K70" s="99" t="s">
        <v>131</v>
      </c>
      <c r="L70" s="2"/>
      <c r="M70" s="8"/>
      <c r="N70" s="2"/>
    </row>
    <row r="71" spans="1:14" x14ac:dyDescent="0.2">
      <c r="A71" s="30" t="s">
        <v>132</v>
      </c>
      <c r="B71" s="43">
        <v>86.09</v>
      </c>
      <c r="C71" s="80">
        <v>1.1286</v>
      </c>
      <c r="D71" s="44">
        <v>1</v>
      </c>
      <c r="E71" s="45">
        <f t="shared" si="0"/>
        <v>0.54805124450951681</v>
      </c>
      <c r="F71" s="32">
        <v>204</v>
      </c>
      <c r="G71" s="26">
        <v>99.5</v>
      </c>
      <c r="H71" s="107">
        <v>10590500</v>
      </c>
      <c r="I71" s="29">
        <v>46265</v>
      </c>
      <c r="J71" s="43"/>
      <c r="K71" s="92" t="s">
        <v>133</v>
      </c>
      <c r="L71" s="2"/>
      <c r="M71" s="8"/>
      <c r="N71" s="2"/>
    </row>
    <row r="72" spans="1:14" x14ac:dyDescent="0.2">
      <c r="A72" s="30" t="s">
        <v>134</v>
      </c>
      <c r="B72" s="43">
        <v>120.19</v>
      </c>
      <c r="C72" s="80">
        <v>0.86199999999999999</v>
      </c>
      <c r="D72" s="44">
        <v>58</v>
      </c>
      <c r="E72" s="58">
        <f>C72*D72*G72/1000</f>
        <v>4.974602</v>
      </c>
      <c r="F72" s="32">
        <v>152.4</v>
      </c>
      <c r="G72" s="26">
        <v>99.5</v>
      </c>
      <c r="H72" s="107" t="s">
        <v>354</v>
      </c>
      <c r="I72" s="29">
        <v>46784</v>
      </c>
      <c r="J72" s="43">
        <v>17.096</v>
      </c>
      <c r="K72" s="92" t="s">
        <v>339</v>
      </c>
      <c r="L72" s="2"/>
      <c r="M72" s="8"/>
      <c r="N72" s="2"/>
    </row>
    <row r="73" spans="1:14" x14ac:dyDescent="0.2">
      <c r="A73" s="30" t="s">
        <v>136</v>
      </c>
      <c r="B73" s="43">
        <v>165.07</v>
      </c>
      <c r="C73" s="80">
        <v>1.18</v>
      </c>
      <c r="D73" s="44">
        <v>1</v>
      </c>
      <c r="E73" s="45">
        <f t="shared" ref="E73" si="2">C73*D73/$B$5*G73/100</f>
        <v>0.57301122498779899</v>
      </c>
      <c r="F73" s="32">
        <v>155.30000000000001</v>
      </c>
      <c r="G73" s="26">
        <v>99.5</v>
      </c>
      <c r="H73" s="107">
        <v>10590500</v>
      </c>
      <c r="I73" s="27">
        <v>46265</v>
      </c>
      <c r="J73" s="43"/>
      <c r="K73" s="92" t="s">
        <v>137</v>
      </c>
      <c r="L73" s="2"/>
      <c r="M73" s="8"/>
      <c r="N73" s="2"/>
    </row>
    <row r="74" spans="1:14" x14ac:dyDescent="0.2">
      <c r="A74" s="30" t="s">
        <v>138</v>
      </c>
      <c r="B74" s="43">
        <v>120.15</v>
      </c>
      <c r="C74" s="80">
        <v>1.0349999999999999</v>
      </c>
      <c r="D74" s="44">
        <v>100</v>
      </c>
      <c r="E74" s="58">
        <f t="shared" ref="E74:E90" si="3">C74*D74*G74/1000</f>
        <v>10.246499999999997</v>
      </c>
      <c r="F74" s="32">
        <v>193</v>
      </c>
      <c r="G74" s="26">
        <v>99</v>
      </c>
      <c r="H74" s="106">
        <v>4051600</v>
      </c>
      <c r="I74" s="27">
        <v>44732</v>
      </c>
      <c r="J74" s="43"/>
      <c r="K74" s="92" t="s">
        <v>139</v>
      </c>
      <c r="L74" s="2"/>
      <c r="M74" s="8"/>
      <c r="N74" s="2"/>
    </row>
    <row r="75" spans="1:14" x14ac:dyDescent="0.2">
      <c r="A75" s="30" t="s">
        <v>140</v>
      </c>
      <c r="B75" s="43">
        <v>136.22999999999999</v>
      </c>
      <c r="C75" s="80">
        <v>0.85919999999999996</v>
      </c>
      <c r="D75" s="44">
        <v>100</v>
      </c>
      <c r="E75" s="58">
        <f t="shared" si="3"/>
        <v>8.5920000000000005</v>
      </c>
      <c r="F75" s="32">
        <v>156.1</v>
      </c>
      <c r="G75" s="26">
        <v>100</v>
      </c>
      <c r="H75" s="107" t="s">
        <v>333</v>
      </c>
      <c r="I75" s="29">
        <v>45962</v>
      </c>
      <c r="J75" s="43">
        <v>12.92</v>
      </c>
      <c r="K75" s="92" t="s">
        <v>141</v>
      </c>
      <c r="L75" s="2"/>
      <c r="M75" s="8"/>
      <c r="N75" s="2"/>
    </row>
    <row r="76" spans="1:14" x14ac:dyDescent="0.2">
      <c r="A76" s="30" t="s">
        <v>142</v>
      </c>
      <c r="B76" s="43">
        <v>106.12</v>
      </c>
      <c r="C76" s="80">
        <v>1.1196999999999999</v>
      </c>
      <c r="D76" s="44">
        <v>100</v>
      </c>
      <c r="E76" s="58">
        <f t="shared" si="3"/>
        <v>11.085030000000001</v>
      </c>
      <c r="F76" s="32">
        <v>245</v>
      </c>
      <c r="G76" s="26">
        <v>99</v>
      </c>
      <c r="H76" s="106">
        <v>4051600</v>
      </c>
      <c r="I76" s="29">
        <v>44732</v>
      </c>
      <c r="J76" s="43">
        <v>12.5</v>
      </c>
      <c r="K76" s="92" t="s">
        <v>143</v>
      </c>
      <c r="L76" s="2"/>
      <c r="M76" s="8"/>
      <c r="N76" s="2"/>
    </row>
    <row r="77" spans="1:14" x14ac:dyDescent="0.2">
      <c r="A77" s="30" t="s">
        <v>144</v>
      </c>
      <c r="B77" s="43">
        <v>106.13</v>
      </c>
      <c r="C77" s="80">
        <v>1.0429999999999999</v>
      </c>
      <c r="D77" s="44">
        <v>100</v>
      </c>
      <c r="E77" s="58">
        <f t="shared" si="3"/>
        <v>10.43</v>
      </c>
      <c r="F77" s="32">
        <v>164.7</v>
      </c>
      <c r="G77" s="26">
        <v>100</v>
      </c>
      <c r="H77" s="106" t="s">
        <v>319</v>
      </c>
      <c r="I77"/>
      <c r="J77" s="43">
        <v>17.486000000000001</v>
      </c>
      <c r="K77" s="92" t="s">
        <v>145</v>
      </c>
      <c r="L77" s="2"/>
      <c r="M77" s="8"/>
      <c r="N77" s="2"/>
    </row>
    <row r="78" spans="1:14" x14ac:dyDescent="0.2">
      <c r="A78" s="30" t="s">
        <v>146</v>
      </c>
      <c r="B78" s="43">
        <v>116.16</v>
      </c>
      <c r="C78" s="80">
        <v>0.93</v>
      </c>
      <c r="D78" s="44">
        <v>194</v>
      </c>
      <c r="E78" s="58">
        <f>C78*D78*G78/1000</f>
        <v>17.951790000000003</v>
      </c>
      <c r="F78" s="32">
        <v>205</v>
      </c>
      <c r="G78" s="26">
        <v>99.5</v>
      </c>
      <c r="H78" s="106"/>
      <c r="I78" s="27"/>
      <c r="J78" s="43">
        <v>13.09</v>
      </c>
      <c r="K78" s="92" t="s">
        <v>147</v>
      </c>
      <c r="L78" s="2"/>
      <c r="M78" s="8"/>
      <c r="N78" s="2"/>
    </row>
    <row r="79" spans="1:14" x14ac:dyDescent="0.2">
      <c r="A79" s="30" t="s">
        <v>148</v>
      </c>
      <c r="B79" s="43">
        <v>120.19</v>
      </c>
      <c r="C79" s="82">
        <v>0.86199999999999999</v>
      </c>
      <c r="D79" s="44">
        <v>100</v>
      </c>
      <c r="E79" s="58">
        <f t="shared" si="3"/>
        <v>8.5769000000000002</v>
      </c>
      <c r="F79" s="26">
        <v>159.19999999999999</v>
      </c>
      <c r="G79" s="26">
        <v>99.5</v>
      </c>
      <c r="H79" s="107" t="s">
        <v>354</v>
      </c>
      <c r="I79" s="71">
        <v>46784</v>
      </c>
      <c r="J79" s="43">
        <v>17.759</v>
      </c>
      <c r="K79" s="92" t="s">
        <v>149</v>
      </c>
      <c r="L79" s="2"/>
      <c r="M79" s="8"/>
      <c r="N79" s="2"/>
    </row>
    <row r="80" spans="1:14" x14ac:dyDescent="0.2">
      <c r="A80" s="30" t="s">
        <v>150</v>
      </c>
      <c r="B80" s="47">
        <v>94.11</v>
      </c>
      <c r="C80" s="82">
        <v>0.81</v>
      </c>
      <c r="D80" s="44">
        <v>297</v>
      </c>
      <c r="E80" s="58">
        <f t="shared" si="3"/>
        <v>24.057000000000002</v>
      </c>
      <c r="F80" s="32">
        <v>265</v>
      </c>
      <c r="G80" s="32">
        <v>100</v>
      </c>
      <c r="H80" s="107" t="s">
        <v>328</v>
      </c>
      <c r="I80" s="31">
        <v>47118</v>
      </c>
      <c r="J80" s="47">
        <v>16.21</v>
      </c>
      <c r="K80" s="92" t="s">
        <v>151</v>
      </c>
      <c r="L80" s="2"/>
      <c r="M80" s="8"/>
      <c r="N80" s="2"/>
    </row>
    <row r="81" spans="1:14" x14ac:dyDescent="0.2">
      <c r="A81" s="30" t="s">
        <v>152</v>
      </c>
      <c r="B81" s="43">
        <v>93.13</v>
      </c>
      <c r="C81" s="80">
        <v>1.022</v>
      </c>
      <c r="D81" s="44">
        <v>100</v>
      </c>
      <c r="E81" s="58">
        <f t="shared" si="3"/>
        <v>10.168899999999999</v>
      </c>
      <c r="F81" s="32">
        <v>184.1</v>
      </c>
      <c r="G81" s="26">
        <v>99.5</v>
      </c>
      <c r="H81" s="107">
        <v>9634100</v>
      </c>
      <c r="I81" s="27">
        <v>45350</v>
      </c>
      <c r="J81" s="48"/>
      <c r="K81" s="96" t="s">
        <v>153</v>
      </c>
      <c r="L81" s="2"/>
      <c r="M81" s="8"/>
      <c r="N81" s="2"/>
    </row>
    <row r="82" spans="1:14" x14ac:dyDescent="0.2">
      <c r="A82" s="30" t="s">
        <v>154</v>
      </c>
      <c r="B82" s="43">
        <v>136.22999999999999</v>
      </c>
      <c r="C82" s="80">
        <v>0.86</v>
      </c>
      <c r="D82" s="44">
        <v>100</v>
      </c>
      <c r="E82" s="58">
        <f t="shared" si="3"/>
        <v>8.5139999999999993</v>
      </c>
      <c r="F82" s="32">
        <v>166</v>
      </c>
      <c r="G82" s="26">
        <v>99</v>
      </c>
      <c r="H82" s="106"/>
      <c r="I82" s="27"/>
      <c r="J82" s="48"/>
      <c r="K82" s="92" t="s">
        <v>155</v>
      </c>
      <c r="L82" s="2"/>
      <c r="M82" s="8"/>
      <c r="N82" s="2"/>
    </row>
    <row r="83" spans="1:14" x14ac:dyDescent="0.2">
      <c r="A83" s="79" t="s">
        <v>156</v>
      </c>
      <c r="B83" s="43">
        <v>120.19</v>
      </c>
      <c r="C83" s="80">
        <v>0.86370000000000002</v>
      </c>
      <c r="D83" s="44">
        <v>58.3</v>
      </c>
      <c r="E83" s="58">
        <f t="shared" si="3"/>
        <v>5.0051587740000008</v>
      </c>
      <c r="F83" s="32">
        <v>164.7</v>
      </c>
      <c r="G83" s="26">
        <v>99.4</v>
      </c>
      <c r="H83" s="107" t="s">
        <v>354</v>
      </c>
      <c r="I83" s="29">
        <v>46784</v>
      </c>
      <c r="J83" s="48">
        <v>17.966000000000001</v>
      </c>
      <c r="K83" s="92" t="s">
        <v>157</v>
      </c>
      <c r="L83" s="2"/>
      <c r="M83" s="8"/>
      <c r="N83" s="2"/>
    </row>
    <row r="84" spans="1:14" x14ac:dyDescent="0.2">
      <c r="A84" s="30" t="s">
        <v>158</v>
      </c>
      <c r="B84" s="47">
        <v>146.19</v>
      </c>
      <c r="C84" s="82">
        <v>0.97299999999999998</v>
      </c>
      <c r="D84" s="44">
        <v>1</v>
      </c>
      <c r="E84" s="45">
        <f t="shared" ref="E84:E85" si="4">C84*D84/$B$5*G84/100</f>
        <v>0.47249145924841385</v>
      </c>
      <c r="F84" s="32">
        <v>175</v>
      </c>
      <c r="G84" s="32">
        <v>99.5</v>
      </c>
      <c r="H84" s="107">
        <v>10590500</v>
      </c>
      <c r="I84" s="31">
        <v>46265</v>
      </c>
      <c r="J84" s="43">
        <v>13.65</v>
      </c>
      <c r="K84" s="92">
        <v>118117103</v>
      </c>
      <c r="L84" s="2"/>
      <c r="M84" s="8"/>
      <c r="N84" s="2"/>
    </row>
    <row r="85" spans="1:14" x14ac:dyDescent="0.2">
      <c r="A85" s="30" t="s">
        <v>159</v>
      </c>
      <c r="B85" s="47">
        <v>118.18</v>
      </c>
      <c r="C85" s="80">
        <v>0.90900000000000003</v>
      </c>
      <c r="D85" s="44">
        <v>1</v>
      </c>
      <c r="E85" s="45">
        <f t="shared" si="4"/>
        <v>0.44141288433382142</v>
      </c>
      <c r="F85" s="32">
        <v>171</v>
      </c>
      <c r="G85" s="26">
        <v>99.5</v>
      </c>
      <c r="H85" s="106">
        <v>9645700</v>
      </c>
      <c r="I85" s="27">
        <v>44956</v>
      </c>
      <c r="J85" s="43">
        <v>13.7</v>
      </c>
      <c r="K85" s="92">
        <v>118117103</v>
      </c>
      <c r="L85" s="2"/>
      <c r="M85" s="8"/>
      <c r="N85" s="2"/>
    </row>
    <row r="86" spans="1:14" x14ac:dyDescent="0.2">
      <c r="A86" s="30" t="s">
        <v>160</v>
      </c>
      <c r="B86" s="43">
        <v>120.19</v>
      </c>
      <c r="C86" s="80">
        <v>0.87580000000000002</v>
      </c>
      <c r="D86" s="44">
        <v>58</v>
      </c>
      <c r="E86" s="58">
        <f t="shared" si="3"/>
        <v>5.0136046800000003</v>
      </c>
      <c r="F86" s="32">
        <v>168.8</v>
      </c>
      <c r="G86" s="26">
        <v>98.7</v>
      </c>
      <c r="H86" s="107" t="s">
        <v>354</v>
      </c>
      <c r="I86" s="29">
        <v>46784</v>
      </c>
      <c r="J86" s="43">
        <v>18.082000000000001</v>
      </c>
      <c r="K86" s="92" t="s">
        <v>135</v>
      </c>
      <c r="L86" s="2"/>
      <c r="M86" s="8"/>
      <c r="N86" s="2"/>
    </row>
    <row r="87" spans="1:14" x14ac:dyDescent="0.2">
      <c r="A87" s="30" t="s">
        <v>161</v>
      </c>
      <c r="B87" s="43">
        <v>148.19999999999999</v>
      </c>
      <c r="C87" s="85">
        <v>0.9</v>
      </c>
      <c r="D87" s="44">
        <v>1</v>
      </c>
      <c r="E87" s="58">
        <f t="shared" si="3"/>
        <v>8.9549999999999991E-2</v>
      </c>
      <c r="F87" s="61">
        <v>203</v>
      </c>
      <c r="G87" s="38">
        <v>99.5</v>
      </c>
      <c r="H87" s="104">
        <v>6354600</v>
      </c>
      <c r="I87" s="39">
        <v>44064</v>
      </c>
      <c r="J87" s="43">
        <v>14.1</v>
      </c>
      <c r="K87" s="92" t="s">
        <v>162</v>
      </c>
      <c r="L87" s="2"/>
      <c r="M87" s="8"/>
      <c r="N87" s="2"/>
    </row>
    <row r="88" spans="1:14" ht="14.25" customHeight="1" x14ac:dyDescent="0.2">
      <c r="A88" s="30" t="s">
        <v>163</v>
      </c>
      <c r="B88" s="43">
        <v>142.28</v>
      </c>
      <c r="C88" s="85">
        <v>0.72550000000000003</v>
      </c>
      <c r="D88" s="44">
        <v>100</v>
      </c>
      <c r="E88" s="58">
        <f t="shared" si="3"/>
        <v>7.2549999999999999</v>
      </c>
      <c r="F88" s="61">
        <v>174.2</v>
      </c>
      <c r="G88" s="26">
        <v>100</v>
      </c>
      <c r="H88" s="107">
        <v>8310361</v>
      </c>
      <c r="I88" s="29">
        <v>46418</v>
      </c>
      <c r="J88" s="43">
        <v>18.3</v>
      </c>
      <c r="K88" s="92" t="s">
        <v>340</v>
      </c>
      <c r="L88" s="2"/>
      <c r="M88" s="8"/>
      <c r="N88" s="4"/>
    </row>
    <row r="89" spans="1:14" ht="14.25" customHeight="1" x14ac:dyDescent="0.2">
      <c r="A89" s="30" t="s">
        <v>164</v>
      </c>
      <c r="B89" s="43">
        <v>73.09</v>
      </c>
      <c r="C89" s="85">
        <v>0.93710000000000004</v>
      </c>
      <c r="D89" s="44" t="s">
        <v>70</v>
      </c>
      <c r="E89" s="58">
        <v>58.7</v>
      </c>
      <c r="F89" s="61">
        <v>205</v>
      </c>
      <c r="G89" s="26">
        <v>99</v>
      </c>
      <c r="H89" s="107">
        <v>11976200</v>
      </c>
      <c r="I89" s="29">
        <v>45046</v>
      </c>
      <c r="J89" s="43" t="s">
        <v>71</v>
      </c>
      <c r="K89" s="92" t="s">
        <v>165</v>
      </c>
      <c r="L89" s="2"/>
      <c r="M89" s="8"/>
      <c r="N89" s="4"/>
    </row>
    <row r="90" spans="1:14" x14ac:dyDescent="0.2">
      <c r="A90" s="30" t="s">
        <v>166</v>
      </c>
      <c r="B90" s="43">
        <v>134.16999999999999</v>
      </c>
      <c r="C90" s="80">
        <v>0.98850000000000005</v>
      </c>
      <c r="D90" s="44">
        <v>100</v>
      </c>
      <c r="E90" s="58">
        <f t="shared" si="3"/>
        <v>9.786150000000001</v>
      </c>
      <c r="F90" s="32">
        <v>196</v>
      </c>
      <c r="G90" s="26">
        <v>99</v>
      </c>
      <c r="H90" s="107">
        <v>4051600</v>
      </c>
      <c r="I90" s="29">
        <v>44742</v>
      </c>
      <c r="J90" s="43"/>
      <c r="K90" s="92" t="s">
        <v>167</v>
      </c>
      <c r="L90" s="2"/>
      <c r="M90" s="8"/>
      <c r="N90" s="1"/>
    </row>
    <row r="91" spans="1:14" x14ac:dyDescent="0.2">
      <c r="A91" s="30" t="s">
        <v>168</v>
      </c>
      <c r="B91" s="43">
        <v>128.21</v>
      </c>
      <c r="C91" s="80">
        <v>0.82110000000000005</v>
      </c>
      <c r="D91" s="44">
        <v>1</v>
      </c>
      <c r="E91" s="45">
        <v>0.4</v>
      </c>
      <c r="F91" s="32">
        <v>171</v>
      </c>
      <c r="G91" s="26">
        <v>99</v>
      </c>
      <c r="H91" s="107" t="s">
        <v>90</v>
      </c>
      <c r="I91" s="29" t="s">
        <v>91</v>
      </c>
      <c r="J91" s="43"/>
      <c r="K91" s="92" t="s">
        <v>169</v>
      </c>
      <c r="L91" s="2"/>
      <c r="M91" s="1"/>
      <c r="N91" s="2"/>
    </row>
    <row r="92" spans="1:14" x14ac:dyDescent="0.2">
      <c r="A92" s="30" t="s">
        <v>170</v>
      </c>
      <c r="B92" s="47">
        <v>148.19999999999999</v>
      </c>
      <c r="C92" s="80">
        <v>1.0009999999999999</v>
      </c>
      <c r="D92" s="44">
        <v>1</v>
      </c>
      <c r="E92" s="60">
        <v>0.48</v>
      </c>
      <c r="F92" s="32">
        <v>203</v>
      </c>
      <c r="G92" s="26">
        <v>99</v>
      </c>
      <c r="H92" s="107">
        <v>4051600</v>
      </c>
      <c r="I92" s="29">
        <v>44732</v>
      </c>
      <c r="J92" s="43">
        <v>14.02</v>
      </c>
      <c r="K92" s="92" t="s">
        <v>171</v>
      </c>
      <c r="L92" s="2"/>
      <c r="M92" s="1"/>
      <c r="N92" s="2"/>
    </row>
    <row r="93" spans="1:14" x14ac:dyDescent="0.2">
      <c r="A93" s="30" t="s">
        <v>172</v>
      </c>
      <c r="B93" s="47">
        <v>118.13</v>
      </c>
      <c r="C93" s="80">
        <v>1.0912999999999999</v>
      </c>
      <c r="D93" s="44">
        <v>1</v>
      </c>
      <c r="E93" s="45">
        <f t="shared" ref="E93:E94" si="5">C93*D93/$B$5*G93/100</f>
        <v>0.52993826256710586</v>
      </c>
      <c r="F93" s="32">
        <v>174</v>
      </c>
      <c r="G93" s="26">
        <v>99.5</v>
      </c>
      <c r="H93" s="107">
        <v>6354600</v>
      </c>
      <c r="I93" s="29">
        <v>44064</v>
      </c>
      <c r="J93" s="43"/>
      <c r="K93" s="92" t="s">
        <v>173</v>
      </c>
      <c r="L93" s="19"/>
      <c r="M93" s="8"/>
      <c r="N93" s="8"/>
    </row>
    <row r="94" spans="1:14" x14ac:dyDescent="0.2">
      <c r="A94" s="62" t="s">
        <v>174</v>
      </c>
      <c r="B94" s="63">
        <v>130.13999999999999</v>
      </c>
      <c r="C94" s="81">
        <v>1.034</v>
      </c>
      <c r="D94" s="64">
        <v>1</v>
      </c>
      <c r="E94" s="45">
        <f t="shared" si="5"/>
        <v>0.50211322596388497</v>
      </c>
      <c r="F94" s="65" t="s">
        <v>175</v>
      </c>
      <c r="G94" s="33">
        <v>99.5</v>
      </c>
      <c r="H94" s="111">
        <v>10590500</v>
      </c>
      <c r="I94" s="40">
        <v>46265</v>
      </c>
      <c r="J94" s="52"/>
      <c r="K94" s="97" t="s">
        <v>176</v>
      </c>
      <c r="L94" s="19"/>
      <c r="M94" s="9"/>
      <c r="N94" s="6"/>
    </row>
    <row r="95" spans="1:14" x14ac:dyDescent="0.2">
      <c r="A95" s="30" t="s">
        <v>177</v>
      </c>
      <c r="B95" s="43">
        <v>134.16999999999999</v>
      </c>
      <c r="C95" s="80">
        <v>1.0251999999999999</v>
      </c>
      <c r="D95" s="44">
        <v>100</v>
      </c>
      <c r="E95" s="58">
        <f t="shared" ref="E95:E101" si="6">C95*D95*G95/1000</f>
        <v>10.149479999999997</v>
      </c>
      <c r="F95" s="32">
        <v>232.8</v>
      </c>
      <c r="G95" s="26">
        <v>99</v>
      </c>
      <c r="H95" s="107">
        <v>4051600</v>
      </c>
      <c r="I95" s="29">
        <v>44732</v>
      </c>
      <c r="J95" s="43"/>
      <c r="K95" s="92" t="s">
        <v>178</v>
      </c>
      <c r="L95" s="20"/>
      <c r="M95" s="11"/>
      <c r="N95" s="10"/>
    </row>
    <row r="96" spans="1:14" x14ac:dyDescent="0.2">
      <c r="A96" s="30" t="s">
        <v>179</v>
      </c>
      <c r="B96" s="43">
        <v>147</v>
      </c>
      <c r="C96" s="80">
        <v>1.2884</v>
      </c>
      <c r="D96" s="44">
        <v>39</v>
      </c>
      <c r="E96" s="58">
        <f t="shared" si="6"/>
        <v>4.9996362000000003</v>
      </c>
      <c r="F96" s="32">
        <v>174.3</v>
      </c>
      <c r="G96" s="26">
        <v>99.5</v>
      </c>
      <c r="H96" s="107">
        <v>9562100</v>
      </c>
      <c r="I96" s="29">
        <v>44985</v>
      </c>
      <c r="J96" s="43">
        <v>14.36</v>
      </c>
      <c r="K96" s="92">
        <v>148146111</v>
      </c>
      <c r="L96" s="8"/>
      <c r="M96" s="8"/>
      <c r="N96" s="8"/>
    </row>
    <row r="97" spans="1:14" x14ac:dyDescent="0.2">
      <c r="A97" s="30" t="s">
        <v>180</v>
      </c>
      <c r="B97" s="43">
        <v>130.32</v>
      </c>
      <c r="C97" s="80">
        <v>0.83240000000000003</v>
      </c>
      <c r="D97" s="44">
        <v>100</v>
      </c>
      <c r="E97" s="58">
        <f t="shared" si="6"/>
        <v>8.3239999999999998</v>
      </c>
      <c r="F97" s="32">
        <v>184.5</v>
      </c>
      <c r="G97" s="26">
        <v>100</v>
      </c>
      <c r="H97" s="107" t="s">
        <v>336</v>
      </c>
      <c r="I97" s="29">
        <v>46112</v>
      </c>
      <c r="J97" s="43">
        <v>17.600000000000001</v>
      </c>
      <c r="K97" s="92" t="s">
        <v>181</v>
      </c>
      <c r="L97" s="8"/>
      <c r="M97" s="8"/>
      <c r="N97" s="8"/>
    </row>
    <row r="98" spans="1:14" x14ac:dyDescent="0.2">
      <c r="A98" s="30" t="s">
        <v>182</v>
      </c>
      <c r="B98" s="43">
        <v>120.19</v>
      </c>
      <c r="C98" s="80">
        <v>0.87580000000000002</v>
      </c>
      <c r="D98" s="44">
        <v>58</v>
      </c>
      <c r="E98" s="58">
        <f t="shared" si="6"/>
        <v>5.0136046800000003</v>
      </c>
      <c r="F98" s="32">
        <v>168.8</v>
      </c>
      <c r="G98" s="26">
        <v>98.7</v>
      </c>
      <c r="H98" s="107" t="s">
        <v>354</v>
      </c>
      <c r="I98" s="29">
        <v>46784</v>
      </c>
      <c r="J98" s="47">
        <v>14.69</v>
      </c>
      <c r="K98" s="92" t="s">
        <v>135</v>
      </c>
      <c r="L98" s="8"/>
      <c r="M98" s="8"/>
      <c r="N98" s="8"/>
    </row>
    <row r="99" spans="1:14" x14ac:dyDescent="0.2">
      <c r="A99" s="30" t="s">
        <v>183</v>
      </c>
      <c r="B99" s="43">
        <v>147</v>
      </c>
      <c r="C99" s="80">
        <v>1.458</v>
      </c>
      <c r="D99" s="44">
        <v>34.5</v>
      </c>
      <c r="E99" s="58">
        <f t="shared" si="6"/>
        <v>5.0049495000000004</v>
      </c>
      <c r="F99" s="32">
        <v>174.3</v>
      </c>
      <c r="G99" s="26">
        <v>99.5</v>
      </c>
      <c r="H99" s="107" t="s">
        <v>354</v>
      </c>
      <c r="I99" s="113">
        <v>46784</v>
      </c>
      <c r="J99" s="43"/>
      <c r="K99" s="92" t="s">
        <v>184</v>
      </c>
      <c r="L99" s="8"/>
      <c r="M99" s="8"/>
      <c r="N99" s="8"/>
    </row>
    <row r="100" spans="1:14" x14ac:dyDescent="0.2">
      <c r="A100" s="30" t="s">
        <v>185</v>
      </c>
      <c r="B100" s="43">
        <v>147</v>
      </c>
      <c r="C100" s="82">
        <v>1.3059000000000001</v>
      </c>
      <c r="D100" s="44">
        <v>100</v>
      </c>
      <c r="E100" s="58">
        <f t="shared" si="6"/>
        <v>12.993705</v>
      </c>
      <c r="F100" s="26">
        <v>180</v>
      </c>
      <c r="G100" s="26">
        <v>99.5</v>
      </c>
      <c r="H100" s="107" t="s">
        <v>354</v>
      </c>
      <c r="I100" s="113">
        <v>46784</v>
      </c>
      <c r="J100" s="48"/>
      <c r="K100" s="96" t="s">
        <v>184</v>
      </c>
      <c r="L100" s="8"/>
      <c r="M100" s="8"/>
      <c r="N100" s="8"/>
    </row>
    <row r="101" spans="1:14" x14ac:dyDescent="0.2">
      <c r="A101" s="30" t="s">
        <v>186</v>
      </c>
      <c r="B101" s="43">
        <v>136.24</v>
      </c>
      <c r="C101" s="80">
        <v>0.84019999999999995</v>
      </c>
      <c r="D101" s="44">
        <v>100</v>
      </c>
      <c r="E101" s="58">
        <f t="shared" si="6"/>
        <v>8.1163319999999999</v>
      </c>
      <c r="F101" s="32">
        <v>144.1</v>
      </c>
      <c r="G101" s="26">
        <v>96.6</v>
      </c>
      <c r="H101" s="107">
        <v>12267000</v>
      </c>
      <c r="I101" s="29">
        <v>45412</v>
      </c>
      <c r="J101" s="43">
        <v>14.69</v>
      </c>
      <c r="K101" s="92" t="s">
        <v>187</v>
      </c>
      <c r="L101" s="7"/>
      <c r="M101" s="8"/>
      <c r="N101" s="6"/>
    </row>
    <row r="102" spans="1:14" x14ac:dyDescent="0.2">
      <c r="A102" s="30" t="s">
        <v>188</v>
      </c>
      <c r="B102" s="47">
        <v>144.16999999999999</v>
      </c>
      <c r="C102" s="66">
        <v>1.0289999999999999</v>
      </c>
      <c r="D102" s="44">
        <v>1</v>
      </c>
      <c r="E102" s="45">
        <f t="shared" ref="E102:E104" si="7">C102*D102/$B$5*G102/100</f>
        <v>0.49968521229868229</v>
      </c>
      <c r="F102" s="32">
        <v>205</v>
      </c>
      <c r="G102" s="26">
        <v>99.5</v>
      </c>
      <c r="H102" s="107">
        <v>10590500</v>
      </c>
      <c r="I102" s="29">
        <v>46265</v>
      </c>
      <c r="J102" s="48"/>
      <c r="K102" s="96" t="s">
        <v>176</v>
      </c>
      <c r="L102" s="1"/>
      <c r="M102" s="1"/>
      <c r="N102" s="1"/>
    </row>
    <row r="103" spans="1:14" x14ac:dyDescent="0.2">
      <c r="A103" s="30" t="s">
        <v>189</v>
      </c>
      <c r="B103" s="43">
        <v>17.100000000000001</v>
      </c>
      <c r="C103" s="84">
        <v>1.1399999999999999</v>
      </c>
      <c r="D103" s="44">
        <v>1</v>
      </c>
      <c r="E103" s="45">
        <f t="shared" si="7"/>
        <v>0.55358711566617869</v>
      </c>
      <c r="F103" s="23">
        <v>179</v>
      </c>
      <c r="G103" s="23">
        <v>99.5</v>
      </c>
      <c r="H103" s="107">
        <v>10590500</v>
      </c>
      <c r="I103" s="29">
        <v>46265</v>
      </c>
      <c r="J103" s="43"/>
      <c r="K103" s="92" t="s">
        <v>190</v>
      </c>
      <c r="L103" s="1"/>
      <c r="M103" s="1"/>
      <c r="N103" s="1"/>
    </row>
    <row r="104" spans="1:14" x14ac:dyDescent="0.2">
      <c r="A104" s="30" t="s">
        <v>191</v>
      </c>
      <c r="B104" s="43">
        <v>99.13</v>
      </c>
      <c r="C104" s="82">
        <v>1.0269999999999999</v>
      </c>
      <c r="D104" s="44">
        <v>1</v>
      </c>
      <c r="E104" s="45">
        <f t="shared" si="7"/>
        <v>0.4987140068326012</v>
      </c>
      <c r="F104" s="26">
        <v>202</v>
      </c>
      <c r="G104" s="26">
        <v>99.5</v>
      </c>
      <c r="H104" s="106">
        <v>10590500</v>
      </c>
      <c r="I104" s="29">
        <v>46265</v>
      </c>
      <c r="J104" s="43"/>
      <c r="K104" s="92" t="s">
        <v>192</v>
      </c>
      <c r="L104" s="1"/>
      <c r="M104" s="1"/>
      <c r="N104" s="1"/>
    </row>
    <row r="105" spans="1:14" x14ac:dyDescent="0.2">
      <c r="A105" s="30" t="s">
        <v>193</v>
      </c>
      <c r="B105" s="43">
        <v>122.12</v>
      </c>
      <c r="C105" s="80">
        <v>1.1674</v>
      </c>
      <c r="D105" s="44">
        <v>200</v>
      </c>
      <c r="E105" s="58">
        <f t="shared" ref="E105:E108" si="8">C105*D105*G105/1000</f>
        <v>23.231259999999999</v>
      </c>
      <c r="F105" s="32">
        <v>197</v>
      </c>
      <c r="G105" s="26">
        <v>99.5</v>
      </c>
      <c r="H105" s="107">
        <v>8616500</v>
      </c>
      <c r="I105" s="29">
        <v>44742</v>
      </c>
      <c r="J105" s="48">
        <v>14.8</v>
      </c>
      <c r="K105" s="96" t="s">
        <v>194</v>
      </c>
      <c r="L105" s="1"/>
      <c r="M105" s="1"/>
      <c r="N105" s="1"/>
    </row>
    <row r="106" spans="1:14" x14ac:dyDescent="0.2">
      <c r="A106" s="30" t="s">
        <v>195</v>
      </c>
      <c r="B106" s="43">
        <v>222.47</v>
      </c>
      <c r="C106" s="80">
        <v>1</v>
      </c>
      <c r="D106" s="44"/>
      <c r="E106" s="58"/>
      <c r="F106" s="32"/>
      <c r="G106" s="26"/>
      <c r="H106" s="107"/>
      <c r="I106" s="29"/>
      <c r="J106" s="48">
        <v>15.05</v>
      </c>
      <c r="K106" s="96" t="s">
        <v>196</v>
      </c>
      <c r="L106" s="1"/>
      <c r="M106" s="1"/>
      <c r="N106" s="1"/>
    </row>
    <row r="107" spans="1:14" x14ac:dyDescent="0.2">
      <c r="A107" s="30" t="s">
        <v>197</v>
      </c>
      <c r="B107" s="43">
        <v>130.18</v>
      </c>
      <c r="C107" s="80">
        <v>0.91800000000000004</v>
      </c>
      <c r="D107" s="44"/>
      <c r="E107" s="58"/>
      <c r="F107" s="32">
        <v>223</v>
      </c>
      <c r="G107" s="26"/>
      <c r="H107" s="107"/>
      <c r="I107" s="29"/>
      <c r="J107" s="48">
        <v>15.13</v>
      </c>
      <c r="K107" s="96" t="s">
        <v>198</v>
      </c>
      <c r="L107" s="1"/>
      <c r="M107" s="1"/>
      <c r="N107" s="1"/>
    </row>
    <row r="108" spans="1:14" x14ac:dyDescent="0.2">
      <c r="A108" s="30" t="s">
        <v>199</v>
      </c>
      <c r="B108" s="43">
        <v>120.15</v>
      </c>
      <c r="C108" s="82">
        <v>1.03</v>
      </c>
      <c r="D108" s="44">
        <v>100</v>
      </c>
      <c r="E108" s="58">
        <f t="shared" si="8"/>
        <v>10.3</v>
      </c>
      <c r="F108" s="26">
        <v>202</v>
      </c>
      <c r="G108" s="26">
        <v>100</v>
      </c>
      <c r="H108" s="106" t="s">
        <v>349</v>
      </c>
      <c r="I108" s="29">
        <v>46173</v>
      </c>
      <c r="J108" s="43">
        <v>19.529</v>
      </c>
      <c r="K108" s="92" t="s">
        <v>135</v>
      </c>
      <c r="L108" s="1"/>
      <c r="M108" s="1"/>
      <c r="N108" s="1"/>
    </row>
    <row r="109" spans="1:14" x14ac:dyDescent="0.2">
      <c r="A109" s="30" t="s">
        <v>200</v>
      </c>
      <c r="B109" s="43">
        <v>130.22999999999999</v>
      </c>
      <c r="C109" s="80">
        <v>0.82620000000000005</v>
      </c>
      <c r="D109" s="44">
        <v>1</v>
      </c>
      <c r="E109" s="45">
        <f t="shared" ref="E109:E114" si="9">C109*D109/$B$5*G109/100</f>
        <v>0.40120497803806743</v>
      </c>
      <c r="F109" s="32">
        <v>195.1</v>
      </c>
      <c r="G109" s="26">
        <v>99.5</v>
      </c>
      <c r="H109" s="107">
        <v>10590500</v>
      </c>
      <c r="I109" s="29">
        <v>46265</v>
      </c>
      <c r="J109" s="43">
        <v>15.34</v>
      </c>
      <c r="K109" s="92" t="s">
        <v>201</v>
      </c>
      <c r="L109" s="1"/>
      <c r="M109" s="1"/>
      <c r="N109" s="1"/>
    </row>
    <row r="110" spans="1:14" x14ac:dyDescent="0.2">
      <c r="A110" s="30" t="s">
        <v>202</v>
      </c>
      <c r="B110" s="47">
        <v>120.15</v>
      </c>
      <c r="C110" s="80">
        <v>1.0327999999999999</v>
      </c>
      <c r="D110" s="44">
        <v>1</v>
      </c>
      <c r="E110" s="45">
        <f t="shared" si="9"/>
        <v>0.50153050268423616</v>
      </c>
      <c r="F110" s="32">
        <v>200</v>
      </c>
      <c r="G110" s="26">
        <v>99.5</v>
      </c>
      <c r="H110" s="107">
        <v>10590500</v>
      </c>
      <c r="I110" s="27">
        <v>46265</v>
      </c>
      <c r="J110" s="43"/>
      <c r="K110" s="92" t="s">
        <v>203</v>
      </c>
      <c r="L110" s="2"/>
      <c r="M110" s="1"/>
      <c r="N110" s="1"/>
    </row>
    <row r="111" spans="1:14" x14ac:dyDescent="0.2">
      <c r="A111" s="30" t="s">
        <v>204</v>
      </c>
      <c r="B111" s="43">
        <v>144.21</v>
      </c>
      <c r="C111" s="80">
        <v>0.90300000000000002</v>
      </c>
      <c r="D111" s="44">
        <v>100</v>
      </c>
      <c r="E111" s="58">
        <f t="shared" ref="E111:E112" si="10">C111*D111*G111/1000</f>
        <v>9.0299999999999994</v>
      </c>
      <c r="F111" s="32">
        <v>228</v>
      </c>
      <c r="G111" s="26">
        <v>100</v>
      </c>
      <c r="H111" s="107" t="s">
        <v>329</v>
      </c>
      <c r="I111" s="27">
        <v>46326</v>
      </c>
      <c r="J111" s="43">
        <v>23</v>
      </c>
      <c r="K111" s="92" t="s">
        <v>341</v>
      </c>
    </row>
    <row r="112" spans="1:14" x14ac:dyDescent="0.2">
      <c r="A112" s="30" t="s">
        <v>205</v>
      </c>
      <c r="B112" s="43">
        <v>142.24</v>
      </c>
      <c r="C112" s="82">
        <v>0.82640000000000002</v>
      </c>
      <c r="D112" s="44">
        <v>100</v>
      </c>
      <c r="E112" s="58">
        <f t="shared" si="10"/>
        <v>8.1317760000000003</v>
      </c>
      <c r="F112" s="26">
        <v>191</v>
      </c>
      <c r="G112" s="26">
        <v>98.4</v>
      </c>
      <c r="H112" s="107">
        <v>10814000</v>
      </c>
      <c r="I112" s="29">
        <v>45230</v>
      </c>
      <c r="J112" s="43">
        <v>16.03</v>
      </c>
      <c r="K112" s="92" t="s">
        <v>206</v>
      </c>
    </row>
    <row r="113" spans="1:14" x14ac:dyDescent="0.2">
      <c r="A113" s="30" t="s">
        <v>207</v>
      </c>
      <c r="B113" s="43">
        <v>172.26</v>
      </c>
      <c r="C113" s="82">
        <v>0.873</v>
      </c>
      <c r="D113" s="44">
        <v>1</v>
      </c>
      <c r="E113" s="45">
        <f t="shared" si="9"/>
        <v>0.42393118594436319</v>
      </c>
      <c r="F113" s="26">
        <v>199</v>
      </c>
      <c r="G113" s="26">
        <v>99.5</v>
      </c>
      <c r="H113" s="107">
        <v>10590500</v>
      </c>
      <c r="I113" s="29">
        <v>46265</v>
      </c>
      <c r="J113" s="43"/>
      <c r="K113" s="92" t="s">
        <v>208</v>
      </c>
    </row>
    <row r="114" spans="1:14" x14ac:dyDescent="0.2">
      <c r="A114" s="30" t="s">
        <v>209</v>
      </c>
      <c r="B114" s="43">
        <v>160.21</v>
      </c>
      <c r="C114" s="82">
        <v>0.94199999999999995</v>
      </c>
      <c r="D114" s="44">
        <v>1</v>
      </c>
      <c r="E114" s="45">
        <f t="shared" si="9"/>
        <v>0.45743777452415813</v>
      </c>
      <c r="F114" s="26">
        <v>192</v>
      </c>
      <c r="G114" s="26">
        <v>99.5</v>
      </c>
      <c r="H114" s="107">
        <v>6354600</v>
      </c>
      <c r="I114" s="29">
        <v>44439</v>
      </c>
      <c r="J114" s="47"/>
      <c r="K114" s="92" t="s">
        <v>210</v>
      </c>
      <c r="L114" s="1"/>
      <c r="M114" s="1"/>
      <c r="N114" s="1"/>
    </row>
    <row r="115" spans="1:14" x14ac:dyDescent="0.2">
      <c r="A115" s="30" t="s">
        <v>211</v>
      </c>
      <c r="B115" s="43">
        <v>156.31</v>
      </c>
      <c r="C115" s="80">
        <v>0.74019999999999997</v>
      </c>
      <c r="D115" s="44">
        <v>100</v>
      </c>
      <c r="E115" s="58">
        <f t="shared" ref="E115" si="11">C115*D115*G115/1000</f>
        <v>7.3797939999999995</v>
      </c>
      <c r="F115" s="32">
        <v>195.9</v>
      </c>
      <c r="G115" s="26">
        <v>99.7</v>
      </c>
      <c r="H115" s="107">
        <v>9519100</v>
      </c>
      <c r="I115" s="29">
        <v>44712</v>
      </c>
      <c r="J115" s="43">
        <v>16.3</v>
      </c>
      <c r="K115" s="92" t="s">
        <v>212</v>
      </c>
    </row>
    <row r="116" spans="1:14" x14ac:dyDescent="0.2">
      <c r="A116" s="67" t="s">
        <v>213</v>
      </c>
      <c r="B116" s="43">
        <v>132.16</v>
      </c>
      <c r="C116" s="80">
        <v>1.052</v>
      </c>
      <c r="D116" s="44">
        <v>1</v>
      </c>
      <c r="E116" s="45">
        <f t="shared" ref="E116:E122" si="12">C116*D116/$B$5*G116/100</f>
        <v>0.51085407515861403</v>
      </c>
      <c r="F116" s="32">
        <v>197</v>
      </c>
      <c r="G116" s="26">
        <v>99.5</v>
      </c>
      <c r="H116" s="107">
        <v>10590500</v>
      </c>
      <c r="I116" s="29">
        <v>46265</v>
      </c>
      <c r="J116" s="43">
        <v>16.43</v>
      </c>
      <c r="K116" s="92" t="s">
        <v>214</v>
      </c>
      <c r="L116" s="1"/>
      <c r="M116" s="1"/>
      <c r="N116" s="1"/>
    </row>
    <row r="117" spans="1:14" x14ac:dyDescent="0.2">
      <c r="A117" s="67" t="s">
        <v>215</v>
      </c>
      <c r="B117" s="43">
        <v>254.40819999999999</v>
      </c>
      <c r="C117" s="80">
        <v>0.86799999999999999</v>
      </c>
      <c r="D117" s="44"/>
      <c r="E117" s="78"/>
      <c r="F117" s="32">
        <v>142</v>
      </c>
      <c r="G117" s="26"/>
      <c r="H117" s="107"/>
      <c r="I117" s="29"/>
      <c r="J117" s="43"/>
      <c r="K117" s="92"/>
      <c r="L117" s="1"/>
      <c r="M117" s="1"/>
      <c r="N117" s="1"/>
    </row>
    <row r="118" spans="1:14" x14ac:dyDescent="0.2">
      <c r="A118" s="67" t="s">
        <v>216</v>
      </c>
      <c r="B118" s="43">
        <v>152.19</v>
      </c>
      <c r="C118" s="80">
        <v>1.014</v>
      </c>
      <c r="D118" s="44">
        <v>1</v>
      </c>
      <c r="E118" s="78">
        <v>0.51085407515861403</v>
      </c>
      <c r="F118" s="32">
        <v>89</v>
      </c>
      <c r="G118" s="26">
        <v>99.5</v>
      </c>
      <c r="H118" s="107">
        <v>10590500</v>
      </c>
      <c r="I118" s="29">
        <v>46265</v>
      </c>
      <c r="J118" s="43">
        <v>16.63</v>
      </c>
      <c r="K118" s="92" t="s">
        <v>217</v>
      </c>
      <c r="L118" s="1"/>
      <c r="M118" s="1"/>
      <c r="N118" s="1"/>
    </row>
    <row r="119" spans="1:14" x14ac:dyDescent="0.2">
      <c r="A119" s="30" t="s">
        <v>218</v>
      </c>
      <c r="B119" s="43">
        <v>138.21</v>
      </c>
      <c r="C119" s="80">
        <v>0.92300000000000004</v>
      </c>
      <c r="D119" s="44">
        <v>100</v>
      </c>
      <c r="E119" s="58">
        <f t="shared" ref="E119" si="13">C119*D119*G119/1000</f>
        <v>9.1192400000000013</v>
      </c>
      <c r="F119" s="32">
        <v>213.5</v>
      </c>
      <c r="G119" s="26">
        <v>98.8</v>
      </c>
      <c r="H119" s="107">
        <v>9226200</v>
      </c>
      <c r="I119" s="29">
        <v>44742</v>
      </c>
      <c r="J119" s="43"/>
      <c r="K119" s="92" t="s">
        <v>219</v>
      </c>
      <c r="L119" s="1"/>
      <c r="M119" s="1"/>
      <c r="N119" s="1"/>
    </row>
    <row r="120" spans="1:14" x14ac:dyDescent="0.2">
      <c r="A120" s="30" t="s">
        <v>220</v>
      </c>
      <c r="B120" s="43">
        <v>122.13</v>
      </c>
      <c r="C120" s="80">
        <v>1.321</v>
      </c>
      <c r="D120" s="44">
        <v>67</v>
      </c>
      <c r="E120" s="58">
        <v>13.44</v>
      </c>
      <c r="F120" s="32">
        <v>249.2</v>
      </c>
      <c r="G120" s="26">
        <v>99.5</v>
      </c>
      <c r="H120" s="106" t="s">
        <v>323</v>
      </c>
      <c r="I120" s="27">
        <v>46356</v>
      </c>
      <c r="J120" s="43">
        <v>17.288</v>
      </c>
      <c r="K120" s="92" t="s">
        <v>221</v>
      </c>
    </row>
    <row r="121" spans="1:14" x14ac:dyDescent="0.2">
      <c r="A121" s="30" t="s">
        <v>222</v>
      </c>
      <c r="B121" s="43">
        <v>144.21</v>
      </c>
      <c r="C121" s="80">
        <v>0.91</v>
      </c>
      <c r="D121" s="44">
        <v>1</v>
      </c>
      <c r="E121" s="45">
        <f t="shared" ref="E121" si="14">C121*D121/$B$5*G121/100</f>
        <v>0.44189848706686191</v>
      </c>
      <c r="F121" s="32">
        <v>239</v>
      </c>
      <c r="G121" s="26">
        <v>99.5</v>
      </c>
      <c r="H121" s="106">
        <v>10590500</v>
      </c>
      <c r="I121" s="27">
        <v>46265</v>
      </c>
      <c r="J121" s="43">
        <v>17.260000000000002</v>
      </c>
      <c r="K121" s="92" t="s">
        <v>223</v>
      </c>
    </row>
    <row r="122" spans="1:14" x14ac:dyDescent="0.2">
      <c r="A122" s="30" t="s">
        <v>224</v>
      </c>
      <c r="B122" s="43">
        <v>154.25</v>
      </c>
      <c r="C122" s="80">
        <v>1.1000000000000001</v>
      </c>
      <c r="D122" s="44">
        <v>1</v>
      </c>
      <c r="E122" s="45">
        <f t="shared" si="12"/>
        <v>0.53416300634455838</v>
      </c>
      <c r="F122" s="32">
        <v>212</v>
      </c>
      <c r="G122" s="26">
        <v>99.5</v>
      </c>
      <c r="H122" s="107">
        <v>10590500</v>
      </c>
      <c r="I122" s="29">
        <v>46265</v>
      </c>
      <c r="J122" s="43">
        <v>17.600000000000001</v>
      </c>
      <c r="K122" s="92" t="s">
        <v>225</v>
      </c>
    </row>
    <row r="123" spans="1:14" x14ac:dyDescent="0.2">
      <c r="A123" s="30" t="s">
        <v>226</v>
      </c>
      <c r="B123" s="43">
        <v>162.22999999999999</v>
      </c>
      <c r="C123" s="83">
        <v>0.94699999999999995</v>
      </c>
      <c r="D123" s="44">
        <v>100</v>
      </c>
      <c r="E123" s="58">
        <f t="shared" ref="E123:E126" si="15">C123*D123*G123/1000</f>
        <v>9.3752999999999993</v>
      </c>
      <c r="F123" s="26">
        <v>171.8</v>
      </c>
      <c r="G123" s="26">
        <v>99</v>
      </c>
      <c r="H123" s="107">
        <v>4051600</v>
      </c>
      <c r="I123" s="29">
        <v>44732</v>
      </c>
      <c r="J123" s="43">
        <v>17.64</v>
      </c>
      <c r="K123" s="92" t="s">
        <v>227</v>
      </c>
    </row>
    <row r="124" spans="1:14" x14ac:dyDescent="0.2">
      <c r="A124" s="30" t="s">
        <v>228</v>
      </c>
      <c r="B124" s="43">
        <v>154.29</v>
      </c>
      <c r="C124" s="83">
        <v>1</v>
      </c>
      <c r="D124" s="44"/>
      <c r="E124" s="58"/>
      <c r="F124" s="26"/>
      <c r="G124" s="26"/>
      <c r="H124" s="107"/>
      <c r="I124" s="29"/>
      <c r="J124" s="43">
        <v>17.87</v>
      </c>
      <c r="K124" s="92" t="s">
        <v>229</v>
      </c>
    </row>
    <row r="125" spans="1:14" x14ac:dyDescent="0.2">
      <c r="A125" s="30" t="s">
        <v>347</v>
      </c>
      <c r="B125" s="43">
        <v>156.27000000000001</v>
      </c>
      <c r="C125" s="80">
        <v>0.83</v>
      </c>
      <c r="D125" s="44">
        <v>100</v>
      </c>
      <c r="E125" s="58">
        <f t="shared" si="15"/>
        <v>8.3000000000000007</v>
      </c>
      <c r="F125" s="32">
        <v>208</v>
      </c>
      <c r="G125" s="26">
        <v>100</v>
      </c>
      <c r="H125" s="107" t="s">
        <v>320</v>
      </c>
      <c r="I125" s="29">
        <v>45961</v>
      </c>
      <c r="J125" s="43">
        <v>21.576000000000001</v>
      </c>
      <c r="K125" s="92" t="s">
        <v>342</v>
      </c>
    </row>
    <row r="126" spans="1:14" x14ac:dyDescent="0.2">
      <c r="A126" s="30" t="s">
        <v>230</v>
      </c>
      <c r="B126" s="43">
        <v>128.16999999999999</v>
      </c>
      <c r="C126" s="80">
        <v>1</v>
      </c>
      <c r="D126" s="44">
        <v>50</v>
      </c>
      <c r="E126" s="58">
        <f t="shared" si="15"/>
        <v>4.9749999999999996</v>
      </c>
      <c r="F126" s="32">
        <v>218</v>
      </c>
      <c r="G126" s="26">
        <v>99.5</v>
      </c>
      <c r="H126" s="107" t="s">
        <v>354</v>
      </c>
      <c r="I126" s="113">
        <v>46784</v>
      </c>
      <c r="J126" s="43">
        <v>23</v>
      </c>
      <c r="K126" s="92" t="s">
        <v>231</v>
      </c>
    </row>
    <row r="127" spans="1:14" x14ac:dyDescent="0.2">
      <c r="A127" s="30" t="s">
        <v>232</v>
      </c>
      <c r="B127" s="43">
        <v>184.27</v>
      </c>
      <c r="C127" s="80">
        <v>0.88500000000000001</v>
      </c>
      <c r="D127" s="44">
        <v>1</v>
      </c>
      <c r="E127" s="45">
        <f t="shared" ref="E127:E128" si="16">C127*D127/$B$5*G127/100</f>
        <v>0.42975841874084919</v>
      </c>
      <c r="F127" s="32">
        <v>213.5</v>
      </c>
      <c r="G127" s="26">
        <v>99.5</v>
      </c>
      <c r="H127" s="107">
        <v>10590500</v>
      </c>
      <c r="I127" s="29">
        <v>46265</v>
      </c>
      <c r="J127" s="47"/>
      <c r="K127" s="92" t="s">
        <v>233</v>
      </c>
    </row>
    <row r="128" spans="1:14" x14ac:dyDescent="0.2">
      <c r="A128" s="30" t="s">
        <v>234</v>
      </c>
      <c r="B128" s="68">
        <v>131.38</v>
      </c>
      <c r="C128" s="84">
        <v>1.4641999999999999</v>
      </c>
      <c r="D128" s="69">
        <v>1</v>
      </c>
      <c r="E128" s="45">
        <f t="shared" si="16"/>
        <v>0.71101952171791127</v>
      </c>
      <c r="F128" s="32">
        <v>189</v>
      </c>
      <c r="G128" s="26">
        <v>99.5</v>
      </c>
      <c r="H128" s="107">
        <v>10590500</v>
      </c>
      <c r="I128" s="27">
        <v>46265</v>
      </c>
      <c r="J128" s="43"/>
      <c r="K128" s="92" t="s">
        <v>235</v>
      </c>
    </row>
    <row r="129" spans="1:11" x14ac:dyDescent="0.2">
      <c r="A129" s="30" t="s">
        <v>236</v>
      </c>
      <c r="B129" s="68">
        <v>164.03</v>
      </c>
      <c r="C129" s="84">
        <v>1.5609999999999999</v>
      </c>
      <c r="D129" s="69"/>
      <c r="E129" s="45"/>
      <c r="F129" s="32">
        <v>97</v>
      </c>
      <c r="G129" s="26"/>
      <c r="H129" s="107"/>
      <c r="I129" s="27"/>
      <c r="J129" s="43">
        <v>18.649999999999999</v>
      </c>
      <c r="K129" s="92" t="s">
        <v>237</v>
      </c>
    </row>
    <row r="130" spans="1:11" x14ac:dyDescent="0.2">
      <c r="A130" s="30" t="s">
        <v>238</v>
      </c>
      <c r="B130" s="70">
        <v>113.16</v>
      </c>
      <c r="C130" s="81">
        <v>1.01</v>
      </c>
      <c r="D130" s="44">
        <v>1</v>
      </c>
      <c r="E130" s="45">
        <f t="shared" ref="E130" si="17">C130*D130/$B$5*G130/100</f>
        <v>0.49045876037091268</v>
      </c>
      <c r="F130" s="65" t="s">
        <v>239</v>
      </c>
      <c r="G130" s="26">
        <v>99.5</v>
      </c>
      <c r="H130" s="107">
        <v>10590500</v>
      </c>
      <c r="I130" s="29">
        <v>46265</v>
      </c>
      <c r="J130" s="43"/>
      <c r="K130" s="92" t="s">
        <v>240</v>
      </c>
    </row>
    <row r="131" spans="1:11" x14ac:dyDescent="0.2">
      <c r="A131" s="30" t="s">
        <v>348</v>
      </c>
      <c r="B131" s="70">
        <v>158.22999999999999</v>
      </c>
      <c r="C131" s="81">
        <v>0.9</v>
      </c>
      <c r="D131" s="44">
        <v>100</v>
      </c>
      <c r="E131" s="58">
        <f t="shared" ref="E131:E138" si="18">C131*D131*G131/1000</f>
        <v>9</v>
      </c>
      <c r="F131" s="65">
        <v>254</v>
      </c>
      <c r="G131" s="26">
        <v>100</v>
      </c>
      <c r="H131" s="107" t="s">
        <v>324</v>
      </c>
      <c r="I131" s="29">
        <v>45505</v>
      </c>
      <c r="J131" s="43">
        <v>23</v>
      </c>
      <c r="K131" s="92" t="s">
        <v>241</v>
      </c>
    </row>
    <row r="132" spans="1:11" x14ac:dyDescent="0.2">
      <c r="A132" s="30" t="s">
        <v>242</v>
      </c>
      <c r="B132" s="43">
        <v>142.19999999999999</v>
      </c>
      <c r="C132" s="80">
        <v>1</v>
      </c>
      <c r="D132" s="44">
        <v>100</v>
      </c>
      <c r="E132" s="58">
        <f t="shared" si="18"/>
        <v>9.77</v>
      </c>
      <c r="F132" s="32">
        <v>241.5</v>
      </c>
      <c r="G132" s="26">
        <v>97.7</v>
      </c>
      <c r="H132" s="107">
        <v>9090300</v>
      </c>
      <c r="I132" s="29">
        <v>45463</v>
      </c>
      <c r="J132" s="43">
        <v>20.54</v>
      </c>
      <c r="K132" s="92" t="s">
        <v>343</v>
      </c>
    </row>
    <row r="133" spans="1:11" x14ac:dyDescent="0.2">
      <c r="A133" s="30" t="s">
        <v>243</v>
      </c>
      <c r="B133" s="43">
        <v>142.19999999999999</v>
      </c>
      <c r="C133" s="80">
        <v>1</v>
      </c>
      <c r="D133" s="44">
        <v>100</v>
      </c>
      <c r="E133" s="58">
        <f t="shared" si="18"/>
        <v>9.77</v>
      </c>
      <c r="F133" s="32">
        <v>245</v>
      </c>
      <c r="G133" s="26">
        <v>97.7</v>
      </c>
      <c r="H133" s="107">
        <v>9090300</v>
      </c>
      <c r="I133" s="29">
        <v>45828</v>
      </c>
      <c r="J133" s="43">
        <v>20.896999999999998</v>
      </c>
      <c r="K133" s="92" t="s">
        <v>343</v>
      </c>
    </row>
    <row r="134" spans="1:11" x14ac:dyDescent="0.2">
      <c r="A134" s="30" t="s">
        <v>244</v>
      </c>
      <c r="B134" s="43">
        <v>172.26</v>
      </c>
      <c r="C134" s="80">
        <v>0.89300000000000002</v>
      </c>
      <c r="D134" s="44">
        <v>1</v>
      </c>
      <c r="E134" s="45">
        <f t="shared" ref="E134" si="19">C134*D134/$B$5*G134/100</f>
        <v>0.43364324060517329</v>
      </c>
      <c r="F134" s="32">
        <v>268.7</v>
      </c>
      <c r="G134" s="26">
        <v>99.5</v>
      </c>
      <c r="H134" s="107" t="s">
        <v>325</v>
      </c>
      <c r="I134" s="29">
        <v>46265</v>
      </c>
      <c r="J134" s="43">
        <v>20.82</v>
      </c>
      <c r="K134" s="92" t="s">
        <v>245</v>
      </c>
    </row>
    <row r="135" spans="1:11" x14ac:dyDescent="0.2">
      <c r="A135" s="30" t="s">
        <v>246</v>
      </c>
      <c r="B135" s="43">
        <v>208.3</v>
      </c>
      <c r="C135" s="80">
        <v>0.98599999999999999</v>
      </c>
      <c r="D135" s="44">
        <v>100</v>
      </c>
      <c r="E135" s="58">
        <f t="shared" si="18"/>
        <v>9.86</v>
      </c>
      <c r="F135" s="32" t="s">
        <v>247</v>
      </c>
      <c r="G135" s="26">
        <v>100</v>
      </c>
      <c r="H135" s="107" t="s">
        <v>327</v>
      </c>
      <c r="I135"/>
      <c r="J135" s="43">
        <v>25</v>
      </c>
      <c r="K135" s="92" t="s">
        <v>344</v>
      </c>
    </row>
    <row r="136" spans="1:11" x14ac:dyDescent="0.2">
      <c r="A136" s="30" t="s">
        <v>248</v>
      </c>
      <c r="B136" s="70">
        <v>162.22999999999999</v>
      </c>
      <c r="C136" s="81">
        <v>1.03</v>
      </c>
      <c r="D136" s="44">
        <v>200</v>
      </c>
      <c r="E136" s="58">
        <f t="shared" si="18"/>
        <v>20.435200000000002</v>
      </c>
      <c r="F136" s="65">
        <v>202</v>
      </c>
      <c r="G136" s="26">
        <v>99.2</v>
      </c>
      <c r="H136" s="107">
        <v>10537300</v>
      </c>
      <c r="I136" s="29">
        <v>45565</v>
      </c>
      <c r="J136" s="43"/>
      <c r="K136" s="92" t="s">
        <v>227</v>
      </c>
    </row>
    <row r="137" spans="1:11" x14ac:dyDescent="0.2">
      <c r="A137" s="30" t="s">
        <v>334</v>
      </c>
      <c r="B137" s="70">
        <v>90.042000000000002</v>
      </c>
      <c r="C137" s="81">
        <v>0.93</v>
      </c>
      <c r="D137" s="44">
        <v>200</v>
      </c>
      <c r="E137" s="58">
        <f t="shared" si="18"/>
        <v>18.507000000000001</v>
      </c>
      <c r="F137" s="65">
        <v>276.10000000000002</v>
      </c>
      <c r="G137" s="26">
        <v>99.5</v>
      </c>
      <c r="H137" s="107" t="s">
        <v>335</v>
      </c>
      <c r="I137" s="29">
        <v>47238</v>
      </c>
      <c r="J137" s="43">
        <v>11.5</v>
      </c>
      <c r="K137" s="92" t="s">
        <v>346</v>
      </c>
    </row>
    <row r="138" spans="1:11" x14ac:dyDescent="0.2">
      <c r="A138" s="30" t="s">
        <v>249</v>
      </c>
      <c r="B138" s="43">
        <v>218.33</v>
      </c>
      <c r="C138" s="80">
        <v>0.88500000000000001</v>
      </c>
      <c r="D138" s="44">
        <v>100</v>
      </c>
      <c r="E138" s="58">
        <f t="shared" si="18"/>
        <v>8.7614999999999998</v>
      </c>
      <c r="F138" s="32">
        <v>256</v>
      </c>
      <c r="G138" s="26">
        <v>99</v>
      </c>
      <c r="H138" s="107">
        <v>4051600</v>
      </c>
      <c r="I138" s="29">
        <v>44732</v>
      </c>
      <c r="J138" s="43"/>
      <c r="K138" s="92" t="s">
        <v>250</v>
      </c>
    </row>
    <row r="139" spans="1:11" x14ac:dyDescent="0.2">
      <c r="A139" s="72" t="s">
        <v>251</v>
      </c>
      <c r="B139" s="47">
        <v>180.24</v>
      </c>
      <c r="C139" s="80">
        <v>1.0089999999999999</v>
      </c>
      <c r="D139" s="44">
        <v>1</v>
      </c>
      <c r="E139" s="60">
        <v>0.49</v>
      </c>
      <c r="F139" s="32">
        <v>269</v>
      </c>
      <c r="G139" s="32">
        <v>99</v>
      </c>
      <c r="H139" s="107">
        <v>4051600</v>
      </c>
      <c r="I139" s="71">
        <v>44732</v>
      </c>
      <c r="J139" s="43"/>
      <c r="K139" s="92">
        <v>180165137</v>
      </c>
    </row>
    <row r="140" spans="1:11" x14ac:dyDescent="0.2">
      <c r="A140" s="72" t="s">
        <v>252</v>
      </c>
      <c r="B140" s="47">
        <v>164.24</v>
      </c>
      <c r="C140" s="80">
        <v>1</v>
      </c>
      <c r="D140" s="44"/>
      <c r="E140" s="60"/>
      <c r="F140" s="32"/>
      <c r="G140" s="32"/>
      <c r="H140" s="107"/>
      <c r="I140" s="71"/>
      <c r="J140" s="43">
        <v>22.54</v>
      </c>
      <c r="K140" s="92" t="s">
        <v>253</v>
      </c>
    </row>
    <row r="141" spans="1:11" x14ac:dyDescent="0.2">
      <c r="A141" s="72" t="s">
        <v>254</v>
      </c>
      <c r="B141" s="47">
        <v>204.35</v>
      </c>
      <c r="C141" s="80">
        <v>1</v>
      </c>
      <c r="D141" s="44"/>
      <c r="E141" s="60"/>
      <c r="F141" s="32">
        <v>258</v>
      </c>
      <c r="G141" s="32"/>
      <c r="H141" s="107"/>
      <c r="I141" s="71"/>
      <c r="J141" s="43">
        <v>22.87</v>
      </c>
      <c r="K141" s="92" t="s">
        <v>255</v>
      </c>
    </row>
    <row r="142" spans="1:11" x14ac:dyDescent="0.2">
      <c r="A142" s="30" t="s">
        <v>256</v>
      </c>
      <c r="B142" s="47">
        <v>222.32</v>
      </c>
      <c r="C142" s="80">
        <v>0.98</v>
      </c>
      <c r="D142" s="44">
        <v>1</v>
      </c>
      <c r="E142" s="45">
        <f t="shared" ref="E142:E144" si="20">C142*D142/$B$5*G142/100</f>
        <v>0.47589067837969745</v>
      </c>
      <c r="F142" s="32">
        <v>117</v>
      </c>
      <c r="G142" s="32">
        <v>99.5</v>
      </c>
      <c r="H142" s="107">
        <v>10590500</v>
      </c>
      <c r="I142" s="73">
        <v>46265</v>
      </c>
      <c r="J142" s="43">
        <v>23.45</v>
      </c>
      <c r="K142" s="92" t="s">
        <v>257</v>
      </c>
    </row>
    <row r="143" spans="1:11" x14ac:dyDescent="0.2">
      <c r="A143" s="30" t="s">
        <v>258</v>
      </c>
      <c r="B143" s="47">
        <v>72.062700000000007</v>
      </c>
      <c r="C143" s="80">
        <v>1</v>
      </c>
      <c r="D143" s="44"/>
      <c r="E143" s="45"/>
      <c r="F143" s="32">
        <v>286</v>
      </c>
      <c r="G143" s="32"/>
      <c r="H143" s="107"/>
      <c r="I143" s="73"/>
      <c r="J143" s="43">
        <v>23.42</v>
      </c>
      <c r="K143" s="92" t="s">
        <v>259</v>
      </c>
    </row>
    <row r="144" spans="1:11" x14ac:dyDescent="0.2">
      <c r="A144" s="30" t="s">
        <v>260</v>
      </c>
      <c r="B144" s="47">
        <v>220.31</v>
      </c>
      <c r="C144" s="80">
        <v>1.01</v>
      </c>
      <c r="D144" s="44">
        <v>1</v>
      </c>
      <c r="E144" s="45">
        <f t="shared" si="20"/>
        <v>0.48799414348462666</v>
      </c>
      <c r="F144" s="32">
        <v>285</v>
      </c>
      <c r="G144" s="32">
        <v>99</v>
      </c>
      <c r="H144" s="107">
        <v>4051600</v>
      </c>
      <c r="I144" s="73">
        <v>44732</v>
      </c>
      <c r="J144" s="43"/>
      <c r="K144" s="92" t="s">
        <v>261</v>
      </c>
    </row>
    <row r="145" spans="1:11" x14ac:dyDescent="0.2">
      <c r="A145" s="30" t="s">
        <v>262</v>
      </c>
      <c r="B145" s="47">
        <v>206.32</v>
      </c>
      <c r="C145" s="30">
        <v>0.88700000000000001</v>
      </c>
      <c r="D145" s="44" t="s">
        <v>70</v>
      </c>
      <c r="E145" s="78">
        <v>65.95</v>
      </c>
      <c r="F145" s="32">
        <v>263.5</v>
      </c>
      <c r="G145" s="32">
        <v>99.5</v>
      </c>
      <c r="H145" s="107">
        <v>8689400</v>
      </c>
      <c r="I145" s="73">
        <v>44865</v>
      </c>
      <c r="J145" s="43">
        <v>23.91</v>
      </c>
      <c r="K145" s="92" t="s">
        <v>263</v>
      </c>
    </row>
    <row r="146" spans="1:11" x14ac:dyDescent="0.2">
      <c r="A146" s="30" t="s">
        <v>264</v>
      </c>
      <c r="B146" s="47">
        <v>212.42</v>
      </c>
      <c r="C146" s="30">
        <v>0.76900000000000002</v>
      </c>
      <c r="D146" s="44">
        <v>100</v>
      </c>
      <c r="E146" s="58">
        <f t="shared" ref="E146" si="21">C146*D146*G146/1000</f>
        <v>7.6669300000000016</v>
      </c>
      <c r="F146" s="32">
        <v>270</v>
      </c>
      <c r="G146" s="32">
        <v>99.7</v>
      </c>
      <c r="H146" s="107">
        <v>9519100</v>
      </c>
      <c r="I146" s="73">
        <v>44712</v>
      </c>
      <c r="J146" s="43">
        <v>23.91</v>
      </c>
      <c r="K146" s="92" t="s">
        <v>265</v>
      </c>
    </row>
    <row r="147" spans="1:11" x14ac:dyDescent="0.2">
      <c r="A147" s="30" t="s">
        <v>266</v>
      </c>
      <c r="B147" s="47">
        <v>206.32</v>
      </c>
      <c r="C147" s="30">
        <v>0.88700000000000001</v>
      </c>
      <c r="D147" s="44" t="s">
        <v>70</v>
      </c>
      <c r="E147" s="60">
        <v>34.566299999999998</v>
      </c>
      <c r="F147" s="32">
        <v>265</v>
      </c>
      <c r="G147" s="32">
        <v>99.5</v>
      </c>
      <c r="H147" s="107" t="s">
        <v>321</v>
      </c>
      <c r="I147" s="73"/>
      <c r="J147" s="43">
        <v>24.359000000000002</v>
      </c>
      <c r="K147" s="92" t="s">
        <v>263</v>
      </c>
    </row>
    <row r="148" spans="1:11" x14ac:dyDescent="0.2">
      <c r="A148" s="30" t="s">
        <v>267</v>
      </c>
      <c r="B148" s="47">
        <v>222.37</v>
      </c>
      <c r="C148" s="30">
        <v>0.88600000000000001</v>
      </c>
      <c r="D148" s="44"/>
      <c r="E148" s="60"/>
      <c r="F148" s="32">
        <v>283</v>
      </c>
      <c r="G148" s="32"/>
      <c r="H148" s="107"/>
      <c r="I148" s="73"/>
      <c r="J148" s="43">
        <v>24.04</v>
      </c>
      <c r="K148" s="92" t="s">
        <v>268</v>
      </c>
    </row>
    <row r="149" spans="1:11" x14ac:dyDescent="0.2">
      <c r="A149" s="30" t="s">
        <v>269</v>
      </c>
      <c r="B149" s="47">
        <v>220.36</v>
      </c>
      <c r="C149" s="30">
        <v>1.048</v>
      </c>
      <c r="D149" s="44" t="s">
        <v>70</v>
      </c>
      <c r="E149" s="60">
        <v>65.95</v>
      </c>
      <c r="F149" s="32">
        <v>265</v>
      </c>
      <c r="G149" s="32">
        <v>99.5</v>
      </c>
      <c r="H149" s="107">
        <v>8689400</v>
      </c>
      <c r="I149" s="73">
        <v>44865</v>
      </c>
      <c r="J149" s="43">
        <v>24.24</v>
      </c>
      <c r="K149" s="92" t="s">
        <v>270</v>
      </c>
    </row>
    <row r="150" spans="1:11" x14ac:dyDescent="0.2">
      <c r="A150" s="30" t="s">
        <v>271</v>
      </c>
      <c r="B150" s="47">
        <v>170.21</v>
      </c>
      <c r="C150" s="30">
        <v>1.2130000000000001</v>
      </c>
      <c r="D150" s="44">
        <v>1</v>
      </c>
      <c r="E150" s="45">
        <f t="shared" ref="E150:E164" si="22">C150*D150/$B$5*G150/100</f>
        <v>0.58903611517813581</v>
      </c>
      <c r="F150" s="32">
        <v>286</v>
      </c>
      <c r="G150" s="32">
        <v>99.5</v>
      </c>
      <c r="H150" s="107">
        <v>8689400</v>
      </c>
      <c r="I150" s="73">
        <v>44865</v>
      </c>
      <c r="J150" s="43">
        <v>24.3</v>
      </c>
      <c r="K150" s="92" t="s">
        <v>272</v>
      </c>
    </row>
    <row r="151" spans="1:11" x14ac:dyDescent="0.2">
      <c r="A151" s="30" t="s">
        <v>273</v>
      </c>
      <c r="B151" s="47">
        <v>200.31780000000001</v>
      </c>
      <c r="C151" s="30">
        <v>0.88</v>
      </c>
      <c r="D151" s="44"/>
      <c r="E151" s="45"/>
      <c r="F151" s="32">
        <v>299</v>
      </c>
      <c r="G151" s="32"/>
      <c r="H151" s="107"/>
      <c r="I151" s="73"/>
      <c r="J151" s="43">
        <v>24.78</v>
      </c>
      <c r="K151" s="92" t="s">
        <v>245</v>
      </c>
    </row>
    <row r="152" spans="1:11" x14ac:dyDescent="0.2">
      <c r="A152" s="30" t="s">
        <v>274</v>
      </c>
      <c r="B152" s="47">
        <v>282.33</v>
      </c>
      <c r="C152" s="30">
        <v>1.127</v>
      </c>
      <c r="D152" s="44">
        <v>1</v>
      </c>
      <c r="E152" s="45">
        <f t="shared" si="22"/>
        <v>0.54727428013665202</v>
      </c>
      <c r="F152" s="32">
        <v>217</v>
      </c>
      <c r="G152" s="32">
        <v>99.5</v>
      </c>
      <c r="H152" s="107">
        <v>10590500</v>
      </c>
      <c r="I152" s="73">
        <v>46265</v>
      </c>
      <c r="J152" s="43">
        <v>25.27</v>
      </c>
      <c r="K152" s="92" t="s">
        <v>275</v>
      </c>
    </row>
    <row r="153" spans="1:11" x14ac:dyDescent="0.2">
      <c r="A153" s="30" t="s">
        <v>276</v>
      </c>
      <c r="B153" s="47">
        <v>222.24</v>
      </c>
      <c r="C153" s="30">
        <v>1.1200000000000001</v>
      </c>
      <c r="D153" s="44"/>
      <c r="E153" s="45"/>
      <c r="F153" s="32">
        <v>302</v>
      </c>
      <c r="G153" s="32"/>
      <c r="H153" s="107"/>
      <c r="I153" s="73"/>
      <c r="J153" s="43">
        <v>25.58</v>
      </c>
      <c r="K153" s="92" t="s">
        <v>277</v>
      </c>
    </row>
    <row r="154" spans="1:11" x14ac:dyDescent="0.2">
      <c r="A154" s="30" t="s">
        <v>278</v>
      </c>
      <c r="B154" s="47">
        <v>176.25</v>
      </c>
      <c r="C154" s="80">
        <v>0.94520000000000004</v>
      </c>
      <c r="D154" s="44">
        <v>1</v>
      </c>
      <c r="E154" s="45">
        <f t="shared" si="22"/>
        <v>0.45899170326988781</v>
      </c>
      <c r="F154" s="32">
        <v>284</v>
      </c>
      <c r="G154" s="32">
        <v>99.5</v>
      </c>
      <c r="H154" s="107">
        <v>8689400</v>
      </c>
      <c r="I154" s="73">
        <v>44865</v>
      </c>
      <c r="J154" s="43">
        <v>26.11</v>
      </c>
      <c r="K154" s="92">
        <v>176141115</v>
      </c>
    </row>
    <row r="155" spans="1:11" x14ac:dyDescent="0.2">
      <c r="A155" s="30" t="s">
        <v>279</v>
      </c>
      <c r="B155" s="47">
        <v>224.43</v>
      </c>
      <c r="C155" s="80">
        <v>0.78100000000000003</v>
      </c>
      <c r="D155" s="44"/>
      <c r="E155" s="45"/>
      <c r="F155" s="32">
        <v>274</v>
      </c>
      <c r="G155" s="32"/>
      <c r="H155" s="107"/>
      <c r="I155" s="73"/>
      <c r="J155" s="43">
        <v>26.2</v>
      </c>
      <c r="K155" s="92" t="s">
        <v>280</v>
      </c>
    </row>
    <row r="156" spans="1:11" ht="14.25" customHeight="1" x14ac:dyDescent="0.2">
      <c r="A156" s="103" t="s">
        <v>281</v>
      </c>
      <c r="B156" s="47">
        <v>286.41000000000003</v>
      </c>
      <c r="C156" s="30">
        <v>0.95</v>
      </c>
      <c r="D156" s="47">
        <v>1</v>
      </c>
      <c r="E156" s="28">
        <v>0.46</v>
      </c>
      <c r="F156" s="30">
        <v>254</v>
      </c>
      <c r="G156" s="30">
        <v>99.5</v>
      </c>
      <c r="H156" s="107"/>
      <c r="I156" s="30"/>
      <c r="J156" s="47">
        <v>26.35</v>
      </c>
      <c r="K156" s="28" t="s">
        <v>282</v>
      </c>
    </row>
    <row r="157" spans="1:11" x14ac:dyDescent="0.2">
      <c r="A157" s="30" t="s">
        <v>283</v>
      </c>
      <c r="B157" s="47">
        <v>182.22</v>
      </c>
      <c r="C157" s="30">
        <v>1.085</v>
      </c>
      <c r="D157" s="44">
        <v>1</v>
      </c>
      <c r="E157" s="45">
        <f t="shared" si="22"/>
        <v>0.52423133235724739</v>
      </c>
      <c r="F157" s="32">
        <v>305.39999999999998</v>
      </c>
      <c r="G157" s="32">
        <v>99</v>
      </c>
      <c r="H157" s="107">
        <v>4051600</v>
      </c>
      <c r="I157" s="73">
        <v>44732</v>
      </c>
      <c r="J157" s="43">
        <v>27.2</v>
      </c>
      <c r="K157" s="92" t="s">
        <v>284</v>
      </c>
    </row>
    <row r="158" spans="1:11" x14ac:dyDescent="0.2">
      <c r="A158" s="30" t="s">
        <v>285</v>
      </c>
      <c r="B158" s="47">
        <v>210.4</v>
      </c>
      <c r="C158" s="30">
        <v>1</v>
      </c>
      <c r="D158" s="44"/>
      <c r="E158" s="45"/>
      <c r="F158" s="32"/>
      <c r="G158" s="32"/>
      <c r="H158" s="107"/>
      <c r="I158" s="73"/>
      <c r="J158" s="43">
        <v>28.85</v>
      </c>
      <c r="K158" s="92" t="s">
        <v>280</v>
      </c>
    </row>
    <row r="159" spans="1:11" x14ac:dyDescent="0.2">
      <c r="A159" s="30" t="s">
        <v>286</v>
      </c>
      <c r="B159" s="47">
        <v>238.5</v>
      </c>
      <c r="C159" s="30">
        <v>1</v>
      </c>
      <c r="D159" s="44"/>
      <c r="E159" s="45"/>
      <c r="F159" s="32"/>
      <c r="G159" s="32"/>
      <c r="H159" s="107"/>
      <c r="I159" s="73"/>
      <c r="J159" s="43">
        <v>29.29</v>
      </c>
      <c r="K159" s="92" t="s">
        <v>287</v>
      </c>
    </row>
    <row r="160" spans="1:11" x14ac:dyDescent="0.2">
      <c r="A160" s="30" t="s">
        <v>288</v>
      </c>
      <c r="B160" s="47">
        <v>149.19</v>
      </c>
      <c r="C160" s="30">
        <v>0.9</v>
      </c>
      <c r="D160" s="44">
        <v>1</v>
      </c>
      <c r="E160" s="45">
        <f t="shared" si="22"/>
        <v>0.43704245973645683</v>
      </c>
      <c r="F160" s="32">
        <v>246</v>
      </c>
      <c r="G160" s="32">
        <v>99.5</v>
      </c>
      <c r="H160" s="107">
        <v>10590500</v>
      </c>
      <c r="I160" s="73">
        <v>46265</v>
      </c>
      <c r="J160" s="43">
        <v>29.3</v>
      </c>
      <c r="K160" s="92">
        <v>163121107</v>
      </c>
    </row>
    <row r="161" spans="1:11" x14ac:dyDescent="0.2">
      <c r="A161" s="30" t="s">
        <v>289</v>
      </c>
      <c r="B161" s="47">
        <v>206.32</v>
      </c>
      <c r="C161" s="30">
        <v>0.89</v>
      </c>
      <c r="D161" s="44">
        <v>1</v>
      </c>
      <c r="E161" s="45">
        <f t="shared" si="22"/>
        <v>0.43218643240605176</v>
      </c>
      <c r="F161" s="32">
        <v>279</v>
      </c>
      <c r="G161" s="32">
        <v>99.5</v>
      </c>
      <c r="H161" s="107">
        <v>10590500</v>
      </c>
      <c r="I161" s="73">
        <v>46265</v>
      </c>
      <c r="J161" s="43">
        <v>29.54</v>
      </c>
      <c r="K161" s="92" t="s">
        <v>290</v>
      </c>
    </row>
    <row r="162" spans="1:11" x14ac:dyDescent="0.2">
      <c r="A162" s="30" t="s">
        <v>291</v>
      </c>
      <c r="B162" s="47">
        <v>206.36</v>
      </c>
      <c r="C162" s="30">
        <v>0.89</v>
      </c>
      <c r="D162" s="44" t="s">
        <v>70</v>
      </c>
      <c r="E162" s="45">
        <v>43.4</v>
      </c>
      <c r="F162" s="32">
        <v>279</v>
      </c>
      <c r="G162" s="32">
        <v>98.3</v>
      </c>
      <c r="H162" s="107">
        <v>12428700</v>
      </c>
      <c r="I162" s="73">
        <v>45077</v>
      </c>
      <c r="J162" s="43">
        <v>29.55</v>
      </c>
      <c r="K162" s="92" t="s">
        <v>290</v>
      </c>
    </row>
    <row r="163" spans="1:11" x14ac:dyDescent="0.2">
      <c r="A163" s="30" t="s">
        <v>292</v>
      </c>
      <c r="B163" s="47">
        <v>149.19</v>
      </c>
      <c r="C163" s="30">
        <v>1.141</v>
      </c>
      <c r="D163" s="44"/>
      <c r="E163" s="45"/>
      <c r="F163" s="32">
        <v>303</v>
      </c>
      <c r="G163" s="32"/>
      <c r="H163" s="107"/>
      <c r="I163" s="73"/>
      <c r="J163" s="43">
        <v>29.65</v>
      </c>
      <c r="K163" s="92" t="s">
        <v>293</v>
      </c>
    </row>
    <row r="164" spans="1:11" x14ac:dyDescent="0.2">
      <c r="A164" s="30" t="s">
        <v>294</v>
      </c>
      <c r="B164" s="47">
        <v>164.24</v>
      </c>
      <c r="C164" s="30">
        <v>0.96699999999999997</v>
      </c>
      <c r="D164" s="44">
        <v>1</v>
      </c>
      <c r="E164" s="45">
        <f t="shared" si="22"/>
        <v>0.46957784285017079</v>
      </c>
      <c r="F164" s="32">
        <v>230</v>
      </c>
      <c r="G164" s="32">
        <v>99.5</v>
      </c>
      <c r="H164" s="107">
        <v>10590500</v>
      </c>
      <c r="I164" s="73">
        <v>46265</v>
      </c>
      <c r="J164" s="43">
        <v>29.86</v>
      </c>
      <c r="K164" s="92" t="s">
        <v>295</v>
      </c>
    </row>
    <row r="165" spans="1:11" x14ac:dyDescent="0.2">
      <c r="A165" s="30" t="s">
        <v>296</v>
      </c>
      <c r="B165" s="47">
        <v>178.27</v>
      </c>
      <c r="C165" s="30">
        <v>0.94799999999999995</v>
      </c>
      <c r="D165" s="44" t="s">
        <v>70</v>
      </c>
      <c r="E165" s="45">
        <v>64.56</v>
      </c>
      <c r="F165" s="32">
        <v>78</v>
      </c>
      <c r="G165" s="32">
        <v>99.5</v>
      </c>
      <c r="H165" s="107">
        <v>10803200</v>
      </c>
      <c r="I165" s="31">
        <v>45260</v>
      </c>
      <c r="J165" s="43">
        <v>30.23</v>
      </c>
      <c r="K165" s="92">
        <v>163121107</v>
      </c>
    </row>
    <row r="166" spans="1:11" x14ac:dyDescent="0.2">
      <c r="A166" s="30" t="s">
        <v>297</v>
      </c>
      <c r="B166" s="47">
        <v>228.37</v>
      </c>
      <c r="C166" s="30">
        <v>0.86199999999999999</v>
      </c>
      <c r="D166" s="44"/>
      <c r="E166" s="45"/>
      <c r="F166" s="32">
        <v>326.2</v>
      </c>
      <c r="G166" s="32"/>
      <c r="H166" s="107"/>
      <c r="I166" s="31"/>
      <c r="J166" s="43">
        <v>30.34</v>
      </c>
      <c r="K166" s="92" t="s">
        <v>298</v>
      </c>
    </row>
    <row r="167" spans="1:11" x14ac:dyDescent="0.2">
      <c r="A167" s="30" t="s">
        <v>299</v>
      </c>
      <c r="B167" s="47">
        <v>234.33</v>
      </c>
      <c r="C167" s="30">
        <v>1</v>
      </c>
      <c r="D167" s="44"/>
      <c r="E167" s="45"/>
      <c r="F167" s="32"/>
      <c r="G167" s="32"/>
      <c r="H167" s="107"/>
      <c r="I167" s="31"/>
      <c r="J167" s="43">
        <v>30.86</v>
      </c>
      <c r="K167" s="92" t="s">
        <v>300</v>
      </c>
    </row>
    <row r="168" spans="1:11" x14ac:dyDescent="0.2">
      <c r="A168" s="30" t="s">
        <v>301</v>
      </c>
      <c r="B168" s="47">
        <v>196.37</v>
      </c>
      <c r="C168" s="30">
        <v>1</v>
      </c>
      <c r="D168" s="44"/>
      <c r="E168" s="45"/>
      <c r="F168" s="32">
        <v>251</v>
      </c>
      <c r="G168" s="32"/>
      <c r="H168" s="107"/>
      <c r="I168" s="31"/>
      <c r="J168" s="43">
        <v>31.49</v>
      </c>
      <c r="K168" s="92" t="s">
        <v>302</v>
      </c>
    </row>
    <row r="169" spans="1:11" x14ac:dyDescent="0.2">
      <c r="A169" s="30" t="s">
        <v>303</v>
      </c>
      <c r="B169" s="47">
        <v>366.71</v>
      </c>
      <c r="C169" s="30">
        <v>1</v>
      </c>
      <c r="D169" s="44"/>
      <c r="E169" s="45"/>
      <c r="F169" s="32">
        <v>412.2</v>
      </c>
      <c r="G169" s="32"/>
      <c r="H169" s="107"/>
      <c r="I169" s="31"/>
      <c r="J169" s="43">
        <v>31.81</v>
      </c>
      <c r="K169" s="92" t="s">
        <v>304</v>
      </c>
    </row>
    <row r="170" spans="1:11" x14ac:dyDescent="0.2">
      <c r="A170" s="30" t="s">
        <v>305</v>
      </c>
      <c r="B170" s="47">
        <v>238.41</v>
      </c>
      <c r="C170" s="30">
        <v>0.96299999999999997</v>
      </c>
      <c r="D170" s="44"/>
      <c r="E170" s="45"/>
      <c r="F170" s="32"/>
      <c r="G170" s="32"/>
      <c r="H170" s="107"/>
      <c r="I170" s="31"/>
      <c r="J170" s="43">
        <v>31.92</v>
      </c>
      <c r="K170" s="92" t="s">
        <v>212</v>
      </c>
    </row>
    <row r="171" spans="1:11" x14ac:dyDescent="0.2">
      <c r="A171" s="30" t="s">
        <v>306</v>
      </c>
      <c r="B171" s="47">
        <v>100.21</v>
      </c>
      <c r="C171" s="30">
        <v>0.94299999999999995</v>
      </c>
      <c r="D171" s="44">
        <v>10</v>
      </c>
      <c r="E171" s="60">
        <v>4.5999999999999996</v>
      </c>
      <c r="F171" s="32">
        <v>110</v>
      </c>
      <c r="G171" s="32">
        <v>100</v>
      </c>
      <c r="H171" s="107" t="s">
        <v>326</v>
      </c>
      <c r="I171" s="73"/>
      <c r="J171" s="43">
        <v>12</v>
      </c>
      <c r="K171" s="92" t="s">
        <v>307</v>
      </c>
    </row>
    <row r="172" spans="1:11" x14ac:dyDescent="0.2">
      <c r="A172" s="30" t="s">
        <v>318</v>
      </c>
      <c r="B172" s="30"/>
      <c r="C172" s="30"/>
      <c r="D172" s="30"/>
      <c r="E172" s="60"/>
      <c r="F172" s="32"/>
      <c r="G172" s="32"/>
      <c r="H172" s="107">
        <v>1003646568</v>
      </c>
      <c r="I172" s="73"/>
      <c r="J172" s="30"/>
      <c r="K172" s="112"/>
    </row>
    <row r="173" spans="1:11" x14ac:dyDescent="0.2">
      <c r="A173" s="30" t="s">
        <v>350</v>
      </c>
      <c r="B173" s="47">
        <v>74.122</v>
      </c>
      <c r="C173" s="80">
        <v>0.80200000000000005</v>
      </c>
      <c r="D173" s="44">
        <v>63</v>
      </c>
      <c r="E173" s="45">
        <f>C173*D173*G173/1000</f>
        <v>5.0273370000000002</v>
      </c>
      <c r="F173" s="32">
        <v>107.89</v>
      </c>
      <c r="G173" s="32">
        <v>99.5</v>
      </c>
      <c r="H173" s="107" t="s">
        <v>354</v>
      </c>
      <c r="I173" s="73">
        <v>46784</v>
      </c>
      <c r="J173" s="30">
        <v>9</v>
      </c>
      <c r="K173" s="112"/>
    </row>
    <row r="174" spans="1:11" x14ac:dyDescent="0.2">
      <c r="A174" s="30" t="s">
        <v>351</v>
      </c>
      <c r="B174" s="47">
        <v>114.14400000000001</v>
      </c>
      <c r="C174" s="80">
        <v>0.91349999999999998</v>
      </c>
      <c r="D174" s="44">
        <v>55</v>
      </c>
      <c r="E174" s="45">
        <f>C174*D174*G174/1000</f>
        <v>4.9991287499999997</v>
      </c>
      <c r="F174" s="32">
        <v>117</v>
      </c>
      <c r="G174" s="32">
        <v>99.5</v>
      </c>
      <c r="H174" s="107" t="s">
        <v>354</v>
      </c>
      <c r="I174" s="73">
        <v>46784</v>
      </c>
      <c r="J174" s="30">
        <v>13.2</v>
      </c>
      <c r="K174" s="112"/>
    </row>
    <row r="175" spans="1:11" x14ac:dyDescent="0.2">
      <c r="A175" s="30" t="s">
        <v>352</v>
      </c>
      <c r="B175" s="47">
        <v>134.22</v>
      </c>
      <c r="C175" s="80">
        <v>0.86699999999999999</v>
      </c>
      <c r="D175" s="44">
        <v>58</v>
      </c>
      <c r="E175" s="45">
        <f>C175*D175*G175/1000</f>
        <v>5.003457</v>
      </c>
      <c r="F175" s="32">
        <v>169</v>
      </c>
      <c r="G175" s="32">
        <v>99.5</v>
      </c>
      <c r="H175" s="107" t="s">
        <v>354</v>
      </c>
      <c r="I175" s="73">
        <v>46784</v>
      </c>
      <c r="J175" s="30">
        <v>18.7</v>
      </c>
      <c r="K175" s="112"/>
    </row>
    <row r="176" spans="1:11" x14ac:dyDescent="0.2">
      <c r="A176" s="30" t="s">
        <v>353</v>
      </c>
      <c r="B176" s="47">
        <v>134.21</v>
      </c>
      <c r="C176" s="80">
        <v>0.85699999999999998</v>
      </c>
      <c r="D176" s="44">
        <v>59</v>
      </c>
      <c r="E176" s="45">
        <f>C176*D176*G176/1000</f>
        <v>5.0310185000000001</v>
      </c>
      <c r="F176" s="32">
        <v>68</v>
      </c>
      <c r="G176" s="32">
        <v>99.5</v>
      </c>
      <c r="H176" s="107" t="s">
        <v>354</v>
      </c>
      <c r="I176" s="73">
        <v>46784</v>
      </c>
      <c r="J176" s="30">
        <v>19.5</v>
      </c>
      <c r="K176" s="112"/>
    </row>
    <row r="177" spans="1:9" x14ac:dyDescent="0.2">
      <c r="F177" s="23"/>
      <c r="I177" s="25"/>
    </row>
    <row r="178" spans="1:9" x14ac:dyDescent="0.2">
      <c r="F178" s="23"/>
      <c r="I178" s="25"/>
    </row>
    <row r="179" spans="1:9" x14ac:dyDescent="0.2">
      <c r="A179" s="5" t="s">
        <v>308</v>
      </c>
      <c r="F179" s="23"/>
    </row>
    <row r="180" spans="1:9" x14ac:dyDescent="0.2">
      <c r="F180" s="23"/>
    </row>
    <row r="181" spans="1:9" x14ac:dyDescent="0.2">
      <c r="A181" s="5" t="s">
        <v>309</v>
      </c>
      <c r="F181" s="23"/>
    </row>
    <row r="182" spans="1:9" x14ac:dyDescent="0.2">
      <c r="A182" s="5" t="s">
        <v>310</v>
      </c>
      <c r="F182" s="23"/>
    </row>
    <row r="183" spans="1:9" x14ac:dyDescent="0.2">
      <c r="A183" s="5" t="s">
        <v>310</v>
      </c>
      <c r="F183" s="23"/>
    </row>
    <row r="184" spans="1:9" x14ac:dyDescent="0.2">
      <c r="A184" s="5" t="s">
        <v>311</v>
      </c>
      <c r="F184" s="23"/>
    </row>
    <row r="185" spans="1:9" x14ac:dyDescent="0.2">
      <c r="A185" s="5" t="s">
        <v>311</v>
      </c>
      <c r="F185" s="23"/>
    </row>
    <row r="186" spans="1:9" x14ac:dyDescent="0.2">
      <c r="A186" s="5" t="s">
        <v>312</v>
      </c>
    </row>
    <row r="187" spans="1:9" x14ac:dyDescent="0.2">
      <c r="A187" s="5" t="s">
        <v>312</v>
      </c>
    </row>
    <row r="188" spans="1:9" x14ac:dyDescent="0.2">
      <c r="A188" s="5" t="s">
        <v>313</v>
      </c>
    </row>
    <row r="189" spans="1:9" x14ac:dyDescent="0.2">
      <c r="A189" s="5" t="s">
        <v>313</v>
      </c>
    </row>
    <row r="190" spans="1:9" x14ac:dyDescent="0.2">
      <c r="A190" s="5" t="s">
        <v>314</v>
      </c>
    </row>
    <row r="191" spans="1:9" x14ac:dyDescent="0.2">
      <c r="A191" s="5" t="s">
        <v>314</v>
      </c>
    </row>
    <row r="192" spans="1:9" x14ac:dyDescent="0.2">
      <c r="A192" s="5" t="s">
        <v>315</v>
      </c>
    </row>
    <row r="193" spans="1:1" x14ac:dyDescent="0.2">
      <c r="A193" s="5" t="s">
        <v>316</v>
      </c>
    </row>
    <row r="194" spans="1:1" x14ac:dyDescent="0.2">
      <c r="A194" s="5" t="s">
        <v>317</v>
      </c>
    </row>
  </sheetData>
  <phoneticPr fontId="10" type="noConversion"/>
  <conditionalFormatting sqref="I8:I12 I43:I45 I48:I49 I54:I55 I70 I92:I96 I101 I104 I108:I112 I114 I120 I29 I16:I26 I32:I40 I58:I68 I72:I76 I122:I125 I136:I141 I51 I86:I90 I78:I84 I127:I133">
    <cfRule type="cellIs" dxfId="25" priority="26" operator="lessThan">
      <formula>TODAY()</formula>
    </cfRule>
  </conditionalFormatting>
  <conditionalFormatting sqref="I42">
    <cfRule type="cellIs" dxfId="24" priority="25" operator="lessThan">
      <formula>TODAY()</formula>
    </cfRule>
  </conditionalFormatting>
  <conditionalFormatting sqref="I46">
    <cfRule type="cellIs" dxfId="23" priority="24" operator="lessThan">
      <formula>TODAY()</formula>
    </cfRule>
  </conditionalFormatting>
  <conditionalFormatting sqref="I52:I53">
    <cfRule type="cellIs" dxfId="22" priority="23" operator="lessThan">
      <formula>TODAY()</formula>
    </cfRule>
  </conditionalFormatting>
  <conditionalFormatting sqref="I41">
    <cfRule type="cellIs" dxfId="21" priority="22" operator="lessThan">
      <formula>TODAY()</formula>
    </cfRule>
  </conditionalFormatting>
  <conditionalFormatting sqref="I69">
    <cfRule type="cellIs" dxfId="20" priority="21" operator="lessThan">
      <formula>TODAY()</formula>
    </cfRule>
  </conditionalFormatting>
  <conditionalFormatting sqref="I71">
    <cfRule type="cellIs" dxfId="19" priority="20" operator="lessThan">
      <formula>TODAY()</formula>
    </cfRule>
  </conditionalFormatting>
  <conditionalFormatting sqref="I91">
    <cfRule type="cellIs" dxfId="18" priority="19" operator="lessThan">
      <formula>TODAY()</formula>
    </cfRule>
  </conditionalFormatting>
  <conditionalFormatting sqref="I97:I98">
    <cfRule type="cellIs" dxfId="17" priority="18" operator="lessThan">
      <formula>TODAY()</formula>
    </cfRule>
  </conditionalFormatting>
  <conditionalFormatting sqref="I102:I103">
    <cfRule type="cellIs" dxfId="16" priority="17" operator="lessThan">
      <formula>TODAY()</formula>
    </cfRule>
  </conditionalFormatting>
  <conditionalFormatting sqref="I105:I107">
    <cfRule type="cellIs" dxfId="15" priority="16" operator="lessThan">
      <formula>TODAY()</formula>
    </cfRule>
  </conditionalFormatting>
  <conditionalFormatting sqref="I113">
    <cfRule type="cellIs" dxfId="14" priority="15" operator="lessThan">
      <formula>TODAY()</formula>
    </cfRule>
  </conditionalFormatting>
  <conditionalFormatting sqref="I119">
    <cfRule type="cellIs" dxfId="13" priority="14" operator="lessThan">
      <formula>TODAY()</formula>
    </cfRule>
  </conditionalFormatting>
  <conditionalFormatting sqref="I115:I117">
    <cfRule type="cellIs" dxfId="12" priority="13" operator="lessThan">
      <formula>TODAY()</formula>
    </cfRule>
  </conditionalFormatting>
  <conditionalFormatting sqref="I27:I28">
    <cfRule type="cellIs" dxfId="11" priority="12" operator="lessThan">
      <formula>TODAY()</formula>
    </cfRule>
  </conditionalFormatting>
  <conditionalFormatting sqref="I13:I15">
    <cfRule type="cellIs" dxfId="10" priority="11" operator="lessThan">
      <formula>TODAY()</formula>
    </cfRule>
  </conditionalFormatting>
  <conditionalFormatting sqref="I31">
    <cfRule type="cellIs" dxfId="9" priority="10" operator="lessThan">
      <formula>TODAY()</formula>
    </cfRule>
  </conditionalFormatting>
  <conditionalFormatting sqref="I57">
    <cfRule type="cellIs" dxfId="8" priority="9" operator="lessThan">
      <formula>TODAY()</formula>
    </cfRule>
  </conditionalFormatting>
  <conditionalFormatting sqref="I30">
    <cfRule type="cellIs" dxfId="7" priority="8" operator="lessThan">
      <formula>TODAY()</formula>
    </cfRule>
  </conditionalFormatting>
  <conditionalFormatting sqref="I121">
    <cfRule type="cellIs" dxfId="6" priority="7" operator="lessThan">
      <formula>TODAY()</formula>
    </cfRule>
  </conditionalFormatting>
  <conditionalFormatting sqref="I134">
    <cfRule type="cellIs" dxfId="5" priority="6" operator="lessThan">
      <formula>TODAY()</formula>
    </cfRule>
  </conditionalFormatting>
  <conditionalFormatting sqref="I50">
    <cfRule type="cellIs" dxfId="4" priority="5" operator="lessThan">
      <formula>TODAY()</formula>
    </cfRule>
  </conditionalFormatting>
  <conditionalFormatting sqref="I85">
    <cfRule type="cellIs" dxfId="3" priority="4" operator="lessThan">
      <formula>TODAY()</formula>
    </cfRule>
  </conditionalFormatting>
  <conditionalFormatting sqref="I118">
    <cfRule type="cellIs" dxfId="2" priority="3" operator="lessThan">
      <formula>TODAY()</formula>
    </cfRule>
  </conditionalFormatting>
  <conditionalFormatting sqref="I165:I170">
    <cfRule type="cellIs" dxfId="1" priority="2" operator="lessThan">
      <formula>TODAY()</formula>
    </cfRule>
  </conditionalFormatting>
  <conditionalFormatting sqref="I56">
    <cfRule type="cellIs" dxfId="0" priority="1" operator="lessThan">
      <formula>TODAY()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Samples</vt:lpstr>
      <vt:lpstr>Calibrations</vt:lpstr>
      <vt:lpstr>Retention Times</vt:lpstr>
      <vt:lpstr>Chemical data</vt:lpstr>
      <vt:lpstr>chemical_data_table</vt:lpstr>
      <vt:lpstr>sample_name_list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REBECCA MORONES</dc:creator>
  <cp:keywords/>
  <dc:description/>
  <cp:lastModifiedBy>TJ Avbovbo</cp:lastModifiedBy>
  <cp:revision/>
  <dcterms:created xsi:type="dcterms:W3CDTF">2017-08-30T15:29:33Z</dcterms:created>
  <dcterms:modified xsi:type="dcterms:W3CDTF">2026-04-03T18:52:30Z</dcterms:modified>
  <cp:category/>
  <cp:contentStatus/>
</cp:coreProperties>
</file>